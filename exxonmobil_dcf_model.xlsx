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inaananyan/Desktop/UCSD MQF/MQF Winter 2026/MGTF407 - Valuation/Exxon/"/>
    </mc:Choice>
  </mc:AlternateContent>
  <xr:revisionPtr revIDLastSave="0" documentId="13_ncr:1_{A2206ADC-B747-BF41-B201-61B475B6F70A}" xr6:coauthVersionLast="47" xr6:coauthVersionMax="47" xr10:uidLastSave="{00000000-0000-0000-0000-000000000000}"/>
  <bookViews>
    <workbookView xWindow="0" yWindow="500" windowWidth="28800" windowHeight="16140" activeTab="6" xr2:uid="{00000000-000D-0000-FFFF-FFFF00000000}"/>
  </bookViews>
  <sheets>
    <sheet name="Exhibit 1" sheetId="1" r:id="rId1"/>
    <sheet name="Exhibit 2" sheetId="3" r:id="rId2"/>
    <sheet name="Exhibit 3" sheetId="4" r:id="rId3"/>
    <sheet name="Exhibit 4" sheetId="5" r:id="rId4"/>
    <sheet name="Exhibit 5" sheetId="7" r:id="rId5"/>
    <sheet name="10K" sheetId="9" r:id="rId6"/>
    <sheet name="DCF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8" l="1"/>
  <c r="C14" i="8"/>
  <c r="AA10" i="8"/>
  <c r="AA11" i="8" s="1"/>
  <c r="AA9" i="8"/>
  <c r="AA3" i="8"/>
  <c r="AA5" i="8" s="1"/>
  <c r="AA2" i="8"/>
  <c r="AA4" i="8" s="1"/>
  <c r="B47" i="5"/>
  <c r="B45" i="5"/>
  <c r="H17" i="8"/>
  <c r="C21" i="8"/>
  <c r="C17" i="8" s="1"/>
  <c r="D21" i="8"/>
  <c r="D17" i="8" s="1"/>
  <c r="E21" i="8"/>
  <c r="E17" i="8" s="1"/>
  <c r="F21" i="8"/>
  <c r="G21" i="8"/>
  <c r="H21" i="8"/>
  <c r="I21" i="8"/>
  <c r="I17" i="8" s="1"/>
  <c r="J21" i="8"/>
  <c r="J17" i="8" s="1"/>
  <c r="K21" i="8"/>
  <c r="K17" i="8" s="1"/>
  <c r="L21" i="8"/>
  <c r="L17" i="8" s="1"/>
  <c r="B21" i="8"/>
  <c r="B22" i="8" s="1"/>
  <c r="L14" i="8"/>
  <c r="K14" i="8"/>
  <c r="J14" i="8"/>
  <c r="I14" i="8"/>
  <c r="H14" i="8"/>
  <c r="G14" i="8"/>
  <c r="F14" i="8"/>
  <c r="E14" i="8"/>
  <c r="D14" i="8"/>
  <c r="C29" i="5"/>
  <c r="D29" i="5"/>
  <c r="E29" i="5"/>
  <c r="F29" i="5"/>
  <c r="G29" i="5"/>
  <c r="H29" i="5"/>
  <c r="I29" i="5"/>
  <c r="J29" i="5"/>
  <c r="K29" i="5"/>
  <c r="B29" i="5"/>
  <c r="C5" i="8"/>
  <c r="D5" i="8"/>
  <c r="E5" i="8"/>
  <c r="F5" i="8"/>
  <c r="G5" i="8"/>
  <c r="H5" i="8"/>
  <c r="I5" i="8"/>
  <c r="J5" i="8"/>
  <c r="K5" i="8"/>
  <c r="L5" i="8"/>
  <c r="B5" i="8"/>
  <c r="L10" i="8"/>
  <c r="C10" i="8"/>
  <c r="D10" i="8"/>
  <c r="E10" i="8"/>
  <c r="L12" i="8" s="1"/>
  <c r="F10" i="8"/>
  <c r="G10" i="8"/>
  <c r="H10" i="8"/>
  <c r="I10" i="8"/>
  <c r="J10" i="8"/>
  <c r="K10" i="8"/>
  <c r="B10" i="8"/>
  <c r="C25" i="8"/>
  <c r="D25" i="8"/>
  <c r="E25" i="8"/>
  <c r="F25" i="8"/>
  <c r="G25" i="8"/>
  <c r="H25" i="8"/>
  <c r="I25" i="8"/>
  <c r="J25" i="8"/>
  <c r="K25" i="8"/>
  <c r="L25" i="8"/>
  <c r="B25" i="8"/>
  <c r="L26" i="8" s="1"/>
  <c r="X25" i="8" s="1"/>
  <c r="C8" i="8"/>
  <c r="D8" i="8"/>
  <c r="E8" i="8"/>
  <c r="F8" i="8"/>
  <c r="G8" i="8"/>
  <c r="H8" i="8"/>
  <c r="I8" i="8"/>
  <c r="J8" i="8"/>
  <c r="K8" i="8"/>
  <c r="L8" i="8"/>
  <c r="B8" i="8"/>
  <c r="L9" i="8" s="1"/>
  <c r="X8" i="8" s="1"/>
  <c r="C3" i="8"/>
  <c r="D3" i="8"/>
  <c r="E3" i="8"/>
  <c r="F3" i="8"/>
  <c r="G3" i="8"/>
  <c r="H3" i="8"/>
  <c r="I3" i="8"/>
  <c r="J3" i="8"/>
  <c r="K3" i="8"/>
  <c r="L3" i="8"/>
  <c r="B3" i="8"/>
  <c r="C11" i="8"/>
  <c r="D11" i="8"/>
  <c r="E11" i="8"/>
  <c r="F11" i="8"/>
  <c r="G11" i="8"/>
  <c r="H11" i="8"/>
  <c r="I11" i="8"/>
  <c r="J11" i="8"/>
  <c r="K11" i="8"/>
  <c r="L11" i="8"/>
  <c r="B11" i="8"/>
  <c r="C24" i="8"/>
  <c r="D24" i="8"/>
  <c r="E24" i="8"/>
  <c r="F24" i="8"/>
  <c r="G24" i="8"/>
  <c r="H24" i="8"/>
  <c r="I24" i="8"/>
  <c r="J24" i="8"/>
  <c r="K24" i="8"/>
  <c r="L24" i="8"/>
  <c r="B24" i="8"/>
  <c r="C18" i="8"/>
  <c r="D18" i="8"/>
  <c r="E18" i="8"/>
  <c r="F18" i="8"/>
  <c r="F17" i="8" s="1"/>
  <c r="G18" i="8"/>
  <c r="G17" i="8" s="1"/>
  <c r="H18" i="8"/>
  <c r="I18" i="8"/>
  <c r="J18" i="8"/>
  <c r="K18" i="8"/>
  <c r="L18" i="8"/>
  <c r="B18" i="8"/>
  <c r="C7" i="8"/>
  <c r="D7" i="8"/>
  <c r="E7" i="8"/>
  <c r="F7" i="8"/>
  <c r="G7" i="8"/>
  <c r="H7" i="8"/>
  <c r="I7" i="8"/>
  <c r="J7" i="8"/>
  <c r="K7" i="8"/>
  <c r="L7" i="8"/>
  <c r="B7" i="8"/>
  <c r="X11" i="8" l="1"/>
  <c r="S11" i="8"/>
  <c r="T11" i="8"/>
  <c r="U11" i="8"/>
  <c r="N11" i="8"/>
  <c r="V11" i="8"/>
  <c r="O11" i="8"/>
  <c r="W11" i="8"/>
  <c r="R11" i="8"/>
  <c r="P11" i="8"/>
  <c r="AA12" i="8"/>
  <c r="AA13" i="8" s="1"/>
  <c r="Q11" i="8"/>
  <c r="B17" i="8"/>
  <c r="AA15" i="8"/>
  <c r="L19" i="8"/>
  <c r="D19" i="8"/>
  <c r="E22" i="8"/>
  <c r="H22" i="8"/>
  <c r="K22" i="8"/>
  <c r="C22" i="8"/>
  <c r="L23" i="8" s="1"/>
  <c r="B19" i="8"/>
  <c r="E19" i="8"/>
  <c r="F22" i="8"/>
  <c r="O25" i="8"/>
  <c r="U25" i="8"/>
  <c r="T25" i="8"/>
  <c r="G22" i="8"/>
  <c r="F19" i="8"/>
  <c r="L22" i="8"/>
  <c r="D22" i="8"/>
  <c r="I22" i="8"/>
  <c r="J22" i="8"/>
  <c r="J19" i="8"/>
  <c r="I19" i="8"/>
  <c r="G19" i="8"/>
  <c r="K4" i="8"/>
  <c r="K19" i="8"/>
  <c r="C19" i="8"/>
  <c r="H19" i="8"/>
  <c r="F4" i="8"/>
  <c r="I4" i="8"/>
  <c r="G4" i="8"/>
  <c r="E4" i="8"/>
  <c r="L4" i="8"/>
  <c r="D4" i="8"/>
  <c r="C4" i="8"/>
  <c r="L6" i="8" s="1"/>
  <c r="X4" i="8" s="1"/>
  <c r="J4" i="8"/>
  <c r="H4" i="8"/>
  <c r="I13" i="8"/>
  <c r="I27" i="8" s="1"/>
  <c r="H13" i="8"/>
  <c r="H27" i="8" s="1"/>
  <c r="G13" i="8"/>
  <c r="G27" i="8" s="1"/>
  <c r="J13" i="8"/>
  <c r="J27" i="8" s="1"/>
  <c r="F13" i="8"/>
  <c r="F27" i="8" s="1"/>
  <c r="B13" i="8"/>
  <c r="B27" i="8" s="1"/>
  <c r="E13" i="8"/>
  <c r="E27" i="8" s="1"/>
  <c r="L13" i="8"/>
  <c r="L27" i="8" s="1"/>
  <c r="D13" i="8"/>
  <c r="D27" i="8" s="1"/>
  <c r="K13" i="8"/>
  <c r="K27" i="8" s="1"/>
  <c r="C13" i="8"/>
  <c r="L20" i="8" l="1"/>
  <c r="X19" i="8" s="1"/>
  <c r="C27" i="8"/>
  <c r="C15" i="8"/>
  <c r="K15" i="8"/>
  <c r="H15" i="8"/>
  <c r="J15" i="8"/>
  <c r="G15" i="8"/>
  <c r="D15" i="8"/>
  <c r="I15" i="8"/>
  <c r="L15" i="8"/>
  <c r="E15" i="8"/>
  <c r="S25" i="8"/>
  <c r="R25" i="8"/>
  <c r="F15" i="8"/>
  <c r="V25" i="8"/>
  <c r="Q25" i="8"/>
  <c r="N25" i="8"/>
  <c r="P25" i="8"/>
  <c r="W25" i="8"/>
  <c r="O19" i="8"/>
  <c r="U8" i="8"/>
  <c r="V8" i="8"/>
  <c r="N8" i="8"/>
  <c r="O8" i="8"/>
  <c r="W8" i="8"/>
  <c r="P8" i="8"/>
  <c r="Q8" i="8"/>
  <c r="R8" i="8"/>
  <c r="S8" i="8"/>
  <c r="T8" i="8"/>
  <c r="L16" i="8" l="1"/>
  <c r="P19" i="8"/>
  <c r="V19" i="8"/>
  <c r="U19" i="8"/>
  <c r="T19" i="8"/>
  <c r="S19" i="8"/>
  <c r="R19" i="8"/>
  <c r="N19" i="8"/>
  <c r="W19" i="8"/>
  <c r="Q19" i="8"/>
  <c r="N3" i="8"/>
  <c r="O4" i="8"/>
  <c r="W4" i="8"/>
  <c r="P4" i="8"/>
  <c r="N4" i="8"/>
  <c r="Q4" i="8"/>
  <c r="R4" i="8"/>
  <c r="S4" i="8"/>
  <c r="T4" i="8"/>
  <c r="U4" i="8"/>
  <c r="V4" i="8"/>
  <c r="O15" i="8" l="1"/>
  <c r="W15" i="8"/>
  <c r="P15" i="8"/>
  <c r="N15" i="8"/>
  <c r="R15" i="8"/>
  <c r="Q15" i="8"/>
  <c r="X15" i="8"/>
  <c r="S15" i="8"/>
  <c r="T15" i="8"/>
  <c r="U15" i="8"/>
  <c r="V15" i="8"/>
  <c r="N24" i="8"/>
  <c r="N7" i="8"/>
  <c r="N10" i="8" s="1"/>
  <c r="N18" i="8"/>
  <c r="O3" i="8"/>
  <c r="O24" i="8" l="1"/>
  <c r="O7" i="8"/>
  <c r="O10" i="8" s="1"/>
  <c r="O18" i="8"/>
  <c r="P3" i="8"/>
  <c r="N13" i="8"/>
  <c r="N17" i="8" s="1"/>
  <c r="N27" i="8" l="1"/>
  <c r="N28" i="8" s="1"/>
  <c r="P24" i="8"/>
  <c r="P7" i="8"/>
  <c r="P10" i="8" s="1"/>
  <c r="P18" i="8"/>
  <c r="O13" i="8"/>
  <c r="Q3" i="8"/>
  <c r="O17" i="8" l="1"/>
  <c r="O21" i="8" s="1"/>
  <c r="O27" i="8" s="1"/>
  <c r="O28" i="8" s="1"/>
  <c r="Q24" i="8"/>
  <c r="Q18" i="8"/>
  <c r="Q7" i="8"/>
  <c r="Q10" i="8" s="1"/>
  <c r="P13" i="8"/>
  <c r="R3" i="8"/>
  <c r="P17" i="8" l="1"/>
  <c r="P21" i="8" s="1"/>
  <c r="P27" i="8" s="1"/>
  <c r="P28" i="8" s="1"/>
  <c r="R24" i="8"/>
  <c r="R7" i="8"/>
  <c r="R10" i="8" s="1"/>
  <c r="R18" i="8"/>
  <c r="Q13" i="8"/>
  <c r="S3" i="8"/>
  <c r="Q17" i="8" l="1"/>
  <c r="Q21" i="8" s="1"/>
  <c r="Q27" i="8" s="1"/>
  <c r="Q28" i="8" s="1"/>
  <c r="S24" i="8"/>
  <c r="S7" i="8"/>
  <c r="S10" i="8" s="1"/>
  <c r="S18" i="8"/>
  <c r="R13" i="8"/>
  <c r="T3" i="8"/>
  <c r="R17" i="8" l="1"/>
  <c r="R21" i="8" s="1"/>
  <c r="R27" i="8" s="1"/>
  <c r="R28" i="8" s="1"/>
  <c r="T24" i="8"/>
  <c r="T18" i="8"/>
  <c r="T7" i="8"/>
  <c r="T10" i="8" s="1"/>
  <c r="S13" i="8"/>
  <c r="U3" i="8"/>
  <c r="S17" i="8" l="1"/>
  <c r="S21" i="8" s="1"/>
  <c r="S27" i="8" s="1"/>
  <c r="S28" i="8" s="1"/>
  <c r="U24" i="8"/>
  <c r="U18" i="8"/>
  <c r="U7" i="8"/>
  <c r="U10" i="8" s="1"/>
  <c r="T13" i="8"/>
  <c r="V3" i="8"/>
  <c r="T17" i="8" l="1"/>
  <c r="T21" i="8" s="1"/>
  <c r="T27" i="8" s="1"/>
  <c r="T28" i="8" s="1"/>
  <c r="V24" i="8"/>
  <c r="V18" i="8"/>
  <c r="V7" i="8"/>
  <c r="V10" i="8" s="1"/>
  <c r="U13" i="8"/>
  <c r="W3" i="8"/>
  <c r="X3" i="8" s="1"/>
  <c r="X24" i="8" l="1"/>
  <c r="X7" i="8"/>
  <c r="X18" i="8"/>
  <c r="U17" i="8"/>
  <c r="U21" i="8" s="1"/>
  <c r="U27" i="8" s="1"/>
  <c r="U28" i="8" s="1"/>
  <c r="W24" i="8"/>
  <c r="W7" i="8"/>
  <c r="W10" i="8" s="1"/>
  <c r="W18" i="8"/>
  <c r="V13" i="8"/>
  <c r="X13" i="8" l="1"/>
  <c r="X10" i="8"/>
  <c r="V17" i="8"/>
  <c r="V21" i="8" s="1"/>
  <c r="V27" i="8" s="1"/>
  <c r="V28" i="8" s="1"/>
  <c r="W13" i="8"/>
  <c r="X17" i="8" l="1"/>
  <c r="X21" i="8" s="1"/>
  <c r="X27" i="8" s="1"/>
  <c r="W17" i="8"/>
  <c r="W21" i="8" s="1"/>
  <c r="W27" i="8" s="1"/>
  <c r="W28" i="8" s="1"/>
  <c r="X29" i="8" l="1"/>
  <c r="X30" i="8" s="1"/>
  <c r="X28" i="8"/>
  <c r="X31" i="8" l="1"/>
  <c r="X32" i="8" l="1"/>
  <c r="X33" i="8" s="1"/>
</calcChain>
</file>

<file path=xl/sharedStrings.xml><?xml version="1.0" encoding="utf-8"?>
<sst xmlns="http://schemas.openxmlformats.org/spreadsheetml/2006/main" count="255" uniqueCount="181">
  <si>
    <t>2025 Quarter 3 - Condensed Consolidated Statement of Income</t>
  </si>
  <si>
    <t>Quarter 2</t>
  </si>
  <si>
    <t>Quarter 1</t>
  </si>
  <si>
    <t>Three Months Ended</t>
  </si>
  <si>
    <t>Nine Months Ended</t>
  </si>
  <si>
    <t>Six Months Ended</t>
  </si>
  <si>
    <t>(millions of dollars, unless noted)</t>
  </si>
  <si>
    <t>September 30,</t>
  </si>
  <si>
    <t>June 30,</t>
  </si>
  <si>
    <t>March 31,</t>
  </si>
  <si>
    <t>Revenues and other income</t>
  </si>
  <si>
    <t>Sales and other operating revenue</t>
  </si>
  <si>
    <t>Income from equity affiliates</t>
  </si>
  <si>
    <t>Other income</t>
  </si>
  <si>
    <t>Total revenues and other income</t>
  </si>
  <si>
    <t>Costs and other deductions</t>
  </si>
  <si>
    <t>Crude oil and product purchases</t>
  </si>
  <si>
    <t>Production and manufacturing expenses</t>
  </si>
  <si>
    <t>Selling, general and administrative expenses</t>
  </si>
  <si>
    <t>Depreciation and depletion (includes impairments)</t>
  </si>
  <si>
    <t>Exploration expenses, including dry holes</t>
  </si>
  <si>
    <t>Non-service pension and postretirement benefit expense</t>
  </si>
  <si>
    <t>Interest expense</t>
  </si>
  <si>
    <t>Other taxes and duties</t>
  </si>
  <si>
    <t xml:space="preserve">Total costs and other deductions </t>
  </si>
  <si>
    <t>Income (loss) before income taxes</t>
  </si>
  <si>
    <t>Income tax expense (benefit)</t>
  </si>
  <si>
    <t>Net income (loss) including noncontrolling interests</t>
  </si>
  <si>
    <t>Net income (loss) attributable to noncontrolling interests</t>
  </si>
  <si>
    <t>Net income (loss) attributable to ExxonMobil</t>
  </si>
  <si>
    <t>Earnings (loss) per common share (dollars)</t>
  </si>
  <si>
    <t>Earnings (loss) per common share - assuming dilution (dollars)</t>
  </si>
  <si>
    <t>Condensed Consolidated Balance Sheet for Q1, Q2, Q3 in 2025</t>
  </si>
  <si>
    <t>Q3</t>
  </si>
  <si>
    <t>Q2</t>
  </si>
  <si>
    <t>Q1</t>
  </si>
  <si>
    <t>ASSETS</t>
  </si>
  <si>
    <t>Current assets</t>
  </si>
  <si>
    <t>Cash and cash equivalents</t>
  </si>
  <si>
    <t>Cash and cash equivalents – restricted</t>
  </si>
  <si>
    <t>Notes and accounts receivable – net</t>
  </si>
  <si>
    <t>Inventories</t>
  </si>
  <si>
    <t>Crude oil, products and merchandise</t>
  </si>
  <si>
    <t>Materials and supplies</t>
  </si>
  <si>
    <t>Other current assets</t>
  </si>
  <si>
    <t>Total current assets</t>
  </si>
  <si>
    <t>Investments, advances and long-term receivables</t>
  </si>
  <si>
    <t>Property, plant and equipment – net</t>
  </si>
  <si>
    <t>Other assets, including intangibles – net</t>
  </si>
  <si>
    <t>Total Assets</t>
  </si>
  <si>
    <t>LIABILITIES</t>
  </si>
  <si>
    <t>Current liabilities</t>
  </si>
  <si>
    <t>Notes and loans payable</t>
  </si>
  <si>
    <t>Accounts payable and accrued liabilities</t>
  </si>
  <si>
    <t>Income taxes payable</t>
  </si>
  <si>
    <t>Total current liabilities</t>
  </si>
  <si>
    <t>Long-term debt</t>
  </si>
  <si>
    <t xml:space="preserve">Postretirement benefits reserves </t>
  </si>
  <si>
    <t>Deferred income tax liabilities</t>
  </si>
  <si>
    <t>Long-term obligations to equity companies</t>
  </si>
  <si>
    <t>Other long-term obligations</t>
  </si>
  <si>
    <t>Total Liabilities</t>
  </si>
  <si>
    <t>Condensed Consolidated Statement of Income</t>
  </si>
  <si>
    <t>EBIT</t>
  </si>
  <si>
    <t>NOPAT</t>
  </si>
  <si>
    <t>CapEx</t>
  </si>
  <si>
    <t>Condensed Consolidated Balance Sheet</t>
  </si>
  <si>
    <t>Commitments and contingencies</t>
  </si>
  <si>
    <t>EQUITY</t>
  </si>
  <si>
    <t xml:space="preserve">Common stock without par value </t>
  </si>
  <si>
    <t>(9,000 million shares authorized, 8,019 million shares issued)</t>
  </si>
  <si>
    <t>Earnings reinvested</t>
  </si>
  <si>
    <t>Accumulated other comprehensive income</t>
  </si>
  <si>
    <t>Common stock held in treasury</t>
  </si>
  <si>
    <t>(3,666 million shares in 2024 and 4,048 million shares in 2023)</t>
  </si>
  <si>
    <t>ExxonMobil share of equity</t>
  </si>
  <si>
    <t>Noncontrolling interests</t>
  </si>
  <si>
    <t xml:space="preserve">Total Equity </t>
  </si>
  <si>
    <t>Total Liabilities and Equity</t>
  </si>
  <si>
    <t>Common stock held in treasury (in million shares)</t>
  </si>
  <si>
    <t>Condensed Consolidated Cash Flow Statement</t>
  </si>
  <si>
    <t>CASH FLOWS FROM OPERATING ACTIVITIES</t>
  </si>
  <si>
    <t>Adjustments for noncash transactions</t>
  </si>
  <si>
    <t>Deferred income tax charges/(credits)</t>
  </si>
  <si>
    <t>Postretirement benefits expense in excess of/(less than) net payments</t>
  </si>
  <si>
    <t>Other long-term obligation provisions in excess of/(less than) payments</t>
  </si>
  <si>
    <t>Dividends received greater than/(less than) equity in current earnings of equity companies</t>
  </si>
  <si>
    <t>Changes in operational working capital, excluding cash and debt</t>
  </si>
  <si>
    <t>Notes and accounts receivable reduction/(increase)</t>
  </si>
  <si>
    <t>Inventories reduction/(increase)</t>
  </si>
  <si>
    <t>Other current assets reduction/(increase)</t>
  </si>
  <si>
    <t>Accounts and other payables increase/(reduction)</t>
  </si>
  <si>
    <t>Net (gain)/loss on asset sales</t>
  </si>
  <si>
    <t>All other items - net</t>
  </si>
  <si>
    <t>Net cash provided by operating activities</t>
  </si>
  <si>
    <t>CASH FLOWS FROM INVESTING ACTIVITIES</t>
  </si>
  <si>
    <t>Additions to property, plant and equipment</t>
  </si>
  <si>
    <t>Proceeds from asset sales and returns of investments</t>
  </si>
  <si>
    <t>Decrease/(increase) in restricted cash and cash equivalents</t>
  </si>
  <si>
    <t>Additional investments and advances</t>
  </si>
  <si>
    <t>Other investing activities including collection of advances</t>
  </si>
  <si>
    <t>Cash acquired from mergers and acquisitions</t>
  </si>
  <si>
    <t>Net cash used in investing activities</t>
  </si>
  <si>
    <t>CASH FLOWS FROM FINANCING ACTIVITIES</t>
  </si>
  <si>
    <t>Additions to long-term debt</t>
  </si>
  <si>
    <t>Reductions in long-term debt</t>
  </si>
  <si>
    <t>Additions to short-term debt</t>
  </si>
  <si>
    <t>-</t>
  </si>
  <si>
    <t>Reductions in short-term debt</t>
  </si>
  <si>
    <t>Additions/(reductions) in debt with three months or less maturity</t>
  </si>
  <si>
    <t>Contingent consideration payments</t>
  </si>
  <si>
    <t>Cash dividends to ExxonMobil shareholders</t>
  </si>
  <si>
    <t xml:space="preserve">Cash dividends to noncontrolling interests </t>
  </si>
  <si>
    <t>Changes in noncontrolling interests</t>
  </si>
  <si>
    <t>Inflows from noncontrolling interests for major projects</t>
  </si>
  <si>
    <t>Common stock acquired</t>
  </si>
  <si>
    <t>Common stock sold</t>
  </si>
  <si>
    <t>Net cash provided by (used in) financing activities</t>
  </si>
  <si>
    <t>Effects of exchange rate changes on cash</t>
  </si>
  <si>
    <t xml:space="preserve">Increase/(decrease) in cash and cash equivalents </t>
  </si>
  <si>
    <t>Cash and cash equivalents at beginning of year</t>
  </si>
  <si>
    <t>Cash and cash equivalents at end of year</t>
  </si>
  <si>
    <t>Enterprise Value</t>
  </si>
  <si>
    <t>Equity Value</t>
  </si>
  <si>
    <t>WACC</t>
  </si>
  <si>
    <t>Given Info (10-K)</t>
  </si>
  <si>
    <t>Income Statement</t>
  </si>
  <si>
    <t>Revenue</t>
  </si>
  <si>
    <t>Income Before Tax</t>
  </si>
  <si>
    <t>Interest Expense</t>
  </si>
  <si>
    <t>Depreciation and Depletion</t>
  </si>
  <si>
    <t>Income Tax Expense</t>
  </si>
  <si>
    <t>Effective Tax Rate</t>
  </si>
  <si>
    <t>EBIT Margin</t>
  </si>
  <si>
    <t>Balance Sheet</t>
  </si>
  <si>
    <t>Change in NWC</t>
  </si>
  <si>
    <t>Notes and AR</t>
  </si>
  <si>
    <t>Other assets</t>
  </si>
  <si>
    <t>Accounts and payables</t>
  </si>
  <si>
    <t>Change NWC / Revenue</t>
  </si>
  <si>
    <t>FCFF</t>
  </si>
  <si>
    <t>D&amp;A</t>
  </si>
  <si>
    <t>Tax Rate</t>
  </si>
  <si>
    <t>Historical FCFF</t>
  </si>
  <si>
    <t>Forecasted FCFF</t>
  </si>
  <si>
    <t>Revenue Growth</t>
  </si>
  <si>
    <t>Tax Expense</t>
  </si>
  <si>
    <t>Pre-Tax Income</t>
  </si>
  <si>
    <t>D&amp;A (% of Revenue)</t>
  </si>
  <si>
    <t>Average CapEx</t>
  </si>
  <si>
    <t>Change in NWC (% of Revenue)</t>
  </si>
  <si>
    <t>Invested Capital</t>
  </si>
  <si>
    <t>ROIC</t>
  </si>
  <si>
    <t>Total Debt</t>
  </si>
  <si>
    <t>Reinvestment</t>
  </si>
  <si>
    <t xml:space="preserve">Shares Outstanding </t>
  </si>
  <si>
    <t>Stock Price (as of market close on Feb 18)</t>
  </si>
  <si>
    <t>Market Value of Equity</t>
  </si>
  <si>
    <t xml:space="preserve">Market Value of Equity </t>
  </si>
  <si>
    <t>W(E)</t>
  </si>
  <si>
    <t>W(D)</t>
  </si>
  <si>
    <t>Beta</t>
  </si>
  <si>
    <t>MRP</t>
  </si>
  <si>
    <t>Risk Free Rate</t>
  </si>
  <si>
    <t>Cost of Equity</t>
  </si>
  <si>
    <t>Cost of Debt</t>
  </si>
  <si>
    <t>After-Tax Cost of Debt</t>
  </si>
  <si>
    <t>PV(FCFF)</t>
  </si>
  <si>
    <t>Terminal Value</t>
  </si>
  <si>
    <t>Terminal Growth Rate</t>
  </si>
  <si>
    <t>PV(TV)</t>
  </si>
  <si>
    <t>Intrinsic Price</t>
  </si>
  <si>
    <t>Average Growth Rate (without 2020 and 2022)</t>
  </si>
  <si>
    <t>Average EBIT Margin (without 2020 and 2022)</t>
  </si>
  <si>
    <t>Average ROIC (without 2020 and 2022)</t>
  </si>
  <si>
    <t>Average D&amp;A (without 2020 and 2022)</t>
  </si>
  <si>
    <t>CapEx (% of Revenue, without 2020 and 2022)</t>
  </si>
  <si>
    <t>Average Change in NWC (without 2020 and 2022)</t>
  </si>
  <si>
    <t>Average Tax Rate (without 2020 and 2022)</t>
  </si>
  <si>
    <t>WACC / Terminal growth</t>
  </si>
  <si>
    <t>Intrinsic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</si>
</sst>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_(&quot;$&quot;* #,##0_);_(&quot;$&quot;* \(#,##0\);_(&quot;$&quot;* &quot;-&quot;??_);_(@_)"/>
    <numFmt numFmtId="167" formatCode="&quot;$&quot;#,##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i/>
      <sz val="11"/>
      <color theme="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183">
    <xf numFmtId="0" fontId="0" fillId="0" borderId="0" xfId="0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0" fontId="1" fillId="0" borderId="2" xfId="0" applyFont="1" applyBorder="1"/>
    <xf numFmtId="164" fontId="1" fillId="0" borderId="2" xfId="0" applyNumberFormat="1" applyFont="1" applyBorder="1"/>
    <xf numFmtId="0" fontId="1" fillId="0" borderId="3" xfId="0" applyFont="1" applyBorder="1"/>
    <xf numFmtId="164" fontId="1" fillId="0" borderId="3" xfId="0" applyNumberFormat="1" applyFont="1" applyBorder="1"/>
    <xf numFmtId="0" fontId="1" fillId="0" borderId="0" xfId="0" applyFont="1"/>
    <xf numFmtId="43" fontId="1" fillId="0" borderId="0" xfId="0" applyNumberFormat="1" applyFont="1"/>
    <xf numFmtId="0" fontId="1" fillId="0" borderId="4" xfId="0" applyFont="1" applyBorder="1"/>
    <xf numFmtId="43" fontId="1" fillId="0" borderId="4" xfId="0" applyNumberFormat="1" applyFont="1" applyBorder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3" fillId="2" borderId="0" xfId="0" applyFont="1" applyFill="1"/>
    <xf numFmtId="0" fontId="4" fillId="0" borderId="0" xfId="0" applyFont="1"/>
    <xf numFmtId="0" fontId="0" fillId="2" borderId="0" xfId="0" applyFill="1"/>
    <xf numFmtId="0" fontId="0" fillId="0" borderId="2" xfId="0" applyBorder="1"/>
    <xf numFmtId="164" fontId="1" fillId="0" borderId="0" xfId="0" applyNumberFormat="1" applyFont="1"/>
    <xf numFmtId="0" fontId="6" fillId="0" borderId="0" xfId="0" applyFont="1"/>
    <xf numFmtId="164" fontId="6" fillId="0" borderId="0" xfId="0" applyNumberFormat="1" applyFont="1"/>
    <xf numFmtId="0" fontId="5" fillId="0" borderId="1" xfId="0" applyFont="1" applyBorder="1"/>
    <xf numFmtId="164" fontId="5" fillId="0" borderId="1" xfId="0" applyNumberFormat="1" applyFont="1" applyBorder="1"/>
    <xf numFmtId="0" fontId="5" fillId="0" borderId="3" xfId="0" applyFont="1" applyBorder="1"/>
    <xf numFmtId="164" fontId="5" fillId="0" borderId="3" xfId="0" applyNumberFormat="1" applyFont="1" applyBorder="1"/>
    <xf numFmtId="0" fontId="7" fillId="0" borderId="0" xfId="0" applyFont="1"/>
    <xf numFmtId="15" fontId="2" fillId="2" borderId="0" xfId="0" applyNumberFormat="1" applyFont="1" applyFill="1" applyAlignment="1">
      <alignment horizontal="right"/>
    </xf>
    <xf numFmtId="0" fontId="0" fillId="3" borderId="2" xfId="0" applyFill="1" applyBorder="1"/>
    <xf numFmtId="0" fontId="0" fillId="3" borderId="0" xfId="0" applyFill="1"/>
    <xf numFmtId="164" fontId="0" fillId="3" borderId="0" xfId="0" applyNumberFormat="1" applyFill="1"/>
    <xf numFmtId="164" fontId="1" fillId="3" borderId="1" xfId="0" applyNumberFormat="1" applyFont="1" applyFill="1" applyBorder="1"/>
    <xf numFmtId="164" fontId="1" fillId="3" borderId="0" xfId="0" applyNumberFormat="1" applyFont="1" applyFill="1"/>
    <xf numFmtId="164" fontId="1" fillId="3" borderId="2" xfId="0" applyNumberFormat="1" applyFont="1" applyFill="1" applyBorder="1"/>
    <xf numFmtId="164" fontId="1" fillId="3" borderId="3" xfId="0" applyNumberFormat="1" applyFont="1" applyFill="1" applyBorder="1"/>
    <xf numFmtId="43" fontId="1" fillId="3" borderId="0" xfId="0" applyNumberFormat="1" applyFont="1" applyFill="1"/>
    <xf numFmtId="43" fontId="1" fillId="3" borderId="4" xfId="0" applyNumberFormat="1" applyFont="1" applyFill="1" applyBorder="1"/>
    <xf numFmtId="164" fontId="6" fillId="3" borderId="0" xfId="0" applyNumberFormat="1" applyFont="1" applyFill="1"/>
    <xf numFmtId="164" fontId="5" fillId="3" borderId="1" xfId="0" applyNumberFormat="1" applyFont="1" applyFill="1" applyBorder="1"/>
    <xf numFmtId="164" fontId="5" fillId="3" borderId="3" xfId="0" applyNumberFormat="1" applyFont="1" applyFill="1" applyBorder="1"/>
    <xf numFmtId="0" fontId="7" fillId="0" borderId="2" xfId="0" applyFont="1" applyBorder="1"/>
    <xf numFmtId="164" fontId="0" fillId="3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164" fontId="1" fillId="3" borderId="1" xfId="0" applyNumberFormat="1" applyFont="1" applyFill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3" borderId="0" xfId="0" applyNumberFormat="1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3" borderId="2" xfId="0" applyNumberFormat="1" applyFont="1" applyFill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3" borderId="3" xfId="0" applyNumberFormat="1" applyFont="1" applyFill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43" fontId="1" fillId="3" borderId="0" xfId="0" applyNumberFormat="1" applyFont="1" applyFill="1" applyAlignment="1">
      <alignment horizontal="right"/>
    </xf>
    <xf numFmtId="43" fontId="1" fillId="0" borderId="0" xfId="0" applyNumberFormat="1" applyFont="1" applyAlignment="1">
      <alignment horizontal="right"/>
    </xf>
    <xf numFmtId="43" fontId="1" fillId="3" borderId="4" xfId="0" applyNumberFormat="1" applyFont="1" applyFill="1" applyBorder="1" applyAlignment="1">
      <alignment horizontal="right"/>
    </xf>
    <xf numFmtId="43" fontId="1" fillId="0" borderId="4" xfId="0" applyNumberFormat="1" applyFont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3" borderId="0" xfId="0" applyFill="1" applyAlignment="1">
      <alignment horizontal="right"/>
    </xf>
    <xf numFmtId="164" fontId="6" fillId="3" borderId="0" xfId="0" applyNumberFormat="1" applyFont="1" applyFill="1" applyAlignment="1">
      <alignment horizontal="right"/>
    </xf>
    <xf numFmtId="164" fontId="5" fillId="3" borderId="1" xfId="0" applyNumberFormat="1" applyFont="1" applyFill="1" applyBorder="1" applyAlignment="1">
      <alignment horizontal="right"/>
    </xf>
    <xf numFmtId="164" fontId="5" fillId="3" borderId="3" xfId="0" applyNumberFormat="1" applyFont="1" applyFill="1" applyBorder="1" applyAlignment="1">
      <alignment horizontal="right"/>
    </xf>
    <xf numFmtId="164" fontId="5" fillId="3" borderId="2" xfId="0" applyNumberFormat="1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164" fontId="6" fillId="0" borderId="0" xfId="0" applyNumberFormat="1" applyFont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164" fontId="5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5" fillId="3" borderId="0" xfId="0" applyNumberFormat="1" applyFont="1" applyFill="1" applyAlignment="1">
      <alignment horizontal="right"/>
    </xf>
    <xf numFmtId="164" fontId="5" fillId="0" borderId="0" xfId="0" applyNumberFormat="1" applyFont="1" applyAlignment="1">
      <alignment horizontal="right"/>
    </xf>
    <xf numFmtId="0" fontId="6" fillId="3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/>
    <xf numFmtId="164" fontId="6" fillId="3" borderId="3" xfId="0" applyNumberFormat="1" applyFont="1" applyFill="1" applyBorder="1" applyAlignment="1">
      <alignment horizontal="right"/>
    </xf>
    <xf numFmtId="164" fontId="6" fillId="0" borderId="3" xfId="0" applyNumberFormat="1" applyFont="1" applyBorder="1" applyAlignment="1">
      <alignment horizontal="right"/>
    </xf>
    <xf numFmtId="0" fontId="0" fillId="0" borderId="3" xfId="0" applyBorder="1"/>
    <xf numFmtId="0" fontId="7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164" fontId="9" fillId="0" borderId="0" xfId="0" applyNumberFormat="1" applyFont="1"/>
    <xf numFmtId="164" fontId="7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164" fontId="13" fillId="0" borderId="0" xfId="0" applyNumberFormat="1" applyFont="1"/>
    <xf numFmtId="164" fontId="7" fillId="0" borderId="0" xfId="0" applyNumberFormat="1" applyFont="1"/>
    <xf numFmtId="10" fontId="9" fillId="0" borderId="0" xfId="0" applyNumberFormat="1" applyFont="1"/>
    <xf numFmtId="0" fontId="10" fillId="0" borderId="0" xfId="0" applyFont="1" applyAlignment="1">
      <alignment horizontal="right"/>
    </xf>
    <xf numFmtId="0" fontId="0" fillId="0" borderId="0" xfId="0" applyAlignment="1">
      <alignment horizontal="left"/>
    </xf>
    <xf numFmtId="10" fontId="0" fillId="0" borderId="0" xfId="0" applyNumberFormat="1"/>
    <xf numFmtId="10" fontId="13" fillId="0" borderId="0" xfId="0" applyNumberFormat="1" applyFont="1"/>
    <xf numFmtId="0" fontId="12" fillId="4" borderId="0" xfId="0" applyFont="1" applyFill="1"/>
    <xf numFmtId="8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2" fillId="4" borderId="0" xfId="0" applyFont="1" applyFill="1" applyAlignment="1">
      <alignment horizontal="center"/>
    </xf>
    <xf numFmtId="10" fontId="0" fillId="0" borderId="0" xfId="2" applyNumberFormat="1" applyFont="1" applyAlignment="1">
      <alignment horizontal="center"/>
    </xf>
    <xf numFmtId="0" fontId="0" fillId="0" borderId="5" xfId="0" applyBorder="1"/>
    <xf numFmtId="8" fontId="0" fillId="0" borderId="5" xfId="0" applyNumberFormat="1" applyBorder="1" applyAlignment="1">
      <alignment horizontal="center"/>
    </xf>
    <xf numFmtId="0" fontId="14" fillId="5" borderId="0" xfId="0" applyFont="1" applyFill="1"/>
    <xf numFmtId="0" fontId="14" fillId="5" borderId="0" xfId="0" applyFont="1" applyFill="1" applyAlignment="1">
      <alignment horizontal="center"/>
    </xf>
    <xf numFmtId="0" fontId="14" fillId="0" borderId="0" xfId="0" applyFont="1"/>
    <xf numFmtId="0" fontId="14" fillId="7" borderId="0" xfId="0" applyFont="1" applyFill="1"/>
    <xf numFmtId="8" fontId="1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7" fillId="0" borderId="0" xfId="0" applyFont="1"/>
    <xf numFmtId="10" fontId="17" fillId="0" borderId="0" xfId="0" applyNumberFormat="1" applyFont="1" applyAlignment="1">
      <alignment horizontal="center"/>
    </xf>
    <xf numFmtId="8" fontId="17" fillId="0" borderId="0" xfId="0" applyNumberFormat="1" applyFont="1" applyAlignment="1">
      <alignment horizontal="center"/>
    </xf>
    <xf numFmtId="9" fontId="17" fillId="0" borderId="0" xfId="2" applyFont="1"/>
    <xf numFmtId="9" fontId="17" fillId="0" borderId="0" xfId="2" applyFont="1" applyAlignment="1">
      <alignment horizontal="center"/>
    </xf>
    <xf numFmtId="9" fontId="16" fillId="0" borderId="0" xfId="2" applyFont="1"/>
    <xf numFmtId="9" fontId="15" fillId="0" borderId="0" xfId="2" applyFont="1" applyFill="1" applyBorder="1" applyAlignment="1">
      <alignment horizontal="center"/>
    </xf>
    <xf numFmtId="9" fontId="15" fillId="0" borderId="0" xfId="2" applyFont="1"/>
    <xf numFmtId="9" fontId="17" fillId="8" borderId="0" xfId="2" applyFont="1" applyFill="1" applyAlignment="1">
      <alignment horizontal="center"/>
    </xf>
    <xf numFmtId="10" fontId="0" fillId="8" borderId="0" xfId="0" applyNumberFormat="1" applyFill="1" applyAlignment="1">
      <alignment horizontal="center"/>
    </xf>
    <xf numFmtId="10" fontId="15" fillId="0" borderId="0" xfId="0" applyNumberFormat="1" applyFont="1" applyAlignment="1">
      <alignment horizontal="center"/>
    </xf>
    <xf numFmtId="8" fontId="16" fillId="0" borderId="0" xfId="2" applyNumberFormat="1" applyFont="1" applyAlignment="1">
      <alignment horizontal="center"/>
    </xf>
    <xf numFmtId="10" fontId="17" fillId="0" borderId="0" xfId="2" applyNumberFormat="1" applyFont="1" applyAlignment="1">
      <alignment horizontal="center"/>
    </xf>
    <xf numFmtId="10" fontId="17" fillId="8" borderId="0" xfId="2" applyNumberFormat="1" applyFont="1" applyFill="1" applyAlignment="1">
      <alignment horizontal="center"/>
    </xf>
    <xf numFmtId="10" fontId="15" fillId="0" borderId="0" xfId="2" applyNumberFormat="1" applyFont="1" applyAlignment="1">
      <alignment horizontal="center"/>
    </xf>
    <xf numFmtId="10" fontId="17" fillId="8" borderId="0" xfId="0" applyNumberFormat="1" applyFont="1" applyFill="1" applyAlignment="1">
      <alignment horizontal="center"/>
    </xf>
    <xf numFmtId="10" fontId="17" fillId="0" borderId="0" xfId="2" applyNumberFormat="1" applyFont="1" applyBorder="1" applyAlignment="1">
      <alignment horizontal="center"/>
    </xf>
    <xf numFmtId="0" fontId="2" fillId="0" borderId="0" xfId="0" applyFont="1"/>
    <xf numFmtId="165" fontId="0" fillId="0" borderId="0" xfId="0" applyNumberFormat="1"/>
    <xf numFmtId="166" fontId="0" fillId="0" borderId="0" xfId="0" applyNumberFormat="1"/>
    <xf numFmtId="0" fontId="11" fillId="0" borderId="0" xfId="0" applyFont="1"/>
    <xf numFmtId="166" fontId="11" fillId="0" borderId="0" xfId="0" applyNumberFormat="1" applyFont="1"/>
    <xf numFmtId="167" fontId="0" fillId="0" borderId="0" xfId="0" applyNumberFormat="1"/>
    <xf numFmtId="167" fontId="11" fillId="0" borderId="0" xfId="0" applyNumberFormat="1" applyFont="1"/>
    <xf numFmtId="0" fontId="6" fillId="0" borderId="0" xfId="0" applyFont="1" applyAlignment="1">
      <alignment horizontal="left"/>
    </xf>
    <xf numFmtId="10" fontId="17" fillId="8" borderId="0" xfId="2" applyNumberFormat="1" applyFont="1" applyFill="1" applyBorder="1" applyAlignment="1">
      <alignment horizontal="center"/>
    </xf>
    <xf numFmtId="10" fontId="15" fillId="0" borderId="0" xfId="2" applyNumberFormat="1" applyFont="1" applyBorder="1" applyAlignment="1">
      <alignment horizontal="center"/>
    </xf>
    <xf numFmtId="8" fontId="0" fillId="0" borderId="0" xfId="2" applyNumberFormat="1" applyFont="1" applyBorder="1" applyAlignment="1">
      <alignment horizontal="center"/>
    </xf>
    <xf numFmtId="9" fontId="15" fillId="8" borderId="0" xfId="2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8" fontId="0" fillId="8" borderId="0" xfId="0" applyNumberFormat="1" applyFill="1" applyAlignment="1">
      <alignment horizontal="center"/>
    </xf>
    <xf numFmtId="44" fontId="0" fillId="0" borderId="0" xfId="1" applyFont="1"/>
    <xf numFmtId="44" fontId="6" fillId="0" borderId="0" xfId="1" applyFont="1" applyAlignment="1">
      <alignment horizontal="center"/>
    </xf>
    <xf numFmtId="0" fontId="17" fillId="0" borderId="0" xfId="0" applyFont="1" applyAlignment="1">
      <alignment horizontal="left"/>
    </xf>
    <xf numFmtId="0" fontId="14" fillId="6" borderId="6" xfId="0" applyFont="1" applyFill="1" applyBorder="1" applyAlignment="1">
      <alignment horizontal="left"/>
    </xf>
    <xf numFmtId="0" fontId="14" fillId="6" borderId="7" xfId="0" applyFont="1" applyFill="1" applyBorder="1" applyAlignment="1">
      <alignment horizontal="left"/>
    </xf>
    <xf numFmtId="0" fontId="0" fillId="0" borderId="8" xfId="0" applyBorder="1" applyAlignment="1">
      <alignment horizontal="left"/>
    </xf>
    <xf numFmtId="44" fontId="0" fillId="0" borderId="9" xfId="0" applyNumberFormat="1" applyBorder="1" applyAlignment="1">
      <alignment horizontal="center"/>
    </xf>
    <xf numFmtId="44" fontId="16" fillId="0" borderId="9" xfId="1" applyFont="1" applyBorder="1" applyAlignment="1">
      <alignment horizontal="center"/>
    </xf>
    <xf numFmtId="9" fontId="16" fillId="0" borderId="8" xfId="2" applyFont="1" applyBorder="1" applyAlignment="1">
      <alignment horizontal="left"/>
    </xf>
    <xf numFmtId="10" fontId="16" fillId="0" borderId="9" xfId="2" applyNumberFormat="1" applyFont="1" applyBorder="1" applyAlignment="1">
      <alignment horizontal="center"/>
    </xf>
    <xf numFmtId="2" fontId="16" fillId="0" borderId="9" xfId="2" applyNumberFormat="1" applyFont="1" applyBorder="1" applyAlignment="1">
      <alignment horizontal="center"/>
    </xf>
    <xf numFmtId="10" fontId="0" fillId="0" borderId="9" xfId="2" applyNumberFormat="1" applyFont="1" applyBorder="1" applyAlignment="1">
      <alignment horizontal="center"/>
    </xf>
    <xf numFmtId="0" fontId="0" fillId="0" borderId="10" xfId="0" applyBorder="1" applyAlignment="1">
      <alignment horizontal="left"/>
    </xf>
    <xf numFmtId="10" fontId="0" fillId="0" borderId="11" xfId="2" applyNumberFormat="1" applyFont="1" applyBorder="1" applyAlignment="1">
      <alignment horizontal="center"/>
    </xf>
    <xf numFmtId="8" fontId="0" fillId="0" borderId="9" xfId="0" applyNumberFormat="1" applyBorder="1" applyAlignment="1">
      <alignment horizontal="center"/>
    </xf>
    <xf numFmtId="10" fontId="1" fillId="9" borderId="13" xfId="2" applyNumberFormat="1" applyFont="1" applyFill="1" applyBorder="1" applyAlignment="1">
      <alignment horizontal="center"/>
    </xf>
    <xf numFmtId="0" fontId="1" fillId="9" borderId="12" xfId="0" applyFont="1" applyFill="1" applyBorder="1" applyAlignment="1">
      <alignment horizontal="left"/>
    </xf>
    <xf numFmtId="0" fontId="1" fillId="0" borderId="14" xfId="0" applyFont="1" applyBorder="1"/>
    <xf numFmtId="8" fontId="1" fillId="0" borderId="14" xfId="0" applyNumberFormat="1" applyFont="1" applyBorder="1" applyAlignment="1">
      <alignment horizontal="center"/>
    </xf>
    <xf numFmtId="8" fontId="0" fillId="0" borderId="14" xfId="0" applyNumberFormat="1" applyBorder="1" applyAlignment="1">
      <alignment horizontal="center"/>
    </xf>
    <xf numFmtId="0" fontId="1" fillId="0" borderId="15" xfId="0" applyFont="1" applyBorder="1"/>
    <xf numFmtId="0" fontId="0" fillId="0" borderId="15" xfId="0" applyBorder="1" applyAlignment="1">
      <alignment horizontal="center"/>
    </xf>
    <xf numFmtId="0" fontId="1" fillId="0" borderId="16" xfId="0" applyFont="1" applyBorder="1"/>
    <xf numFmtId="0" fontId="0" fillId="0" borderId="16" xfId="0" applyBorder="1" applyAlignment="1">
      <alignment horizontal="center"/>
    </xf>
    <xf numFmtId="8" fontId="1" fillId="0" borderId="15" xfId="0" applyNumberFormat="1" applyFont="1" applyBorder="1" applyAlignment="1">
      <alignment horizontal="center"/>
    </xf>
    <xf numFmtId="8" fontId="1" fillId="10" borderId="15" xfId="0" applyNumberFormat="1" applyFont="1" applyFill="1" applyBorder="1" applyAlignment="1">
      <alignment horizontal="center"/>
    </xf>
    <xf numFmtId="8" fontId="1" fillId="10" borderId="16" xfId="0" applyNumberFormat="1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0" fontId="0" fillId="8" borderId="19" xfId="2" applyNumberFormat="1" applyFont="1" applyFill="1" applyBorder="1"/>
    <xf numFmtId="10" fontId="0" fillId="8" borderId="20" xfId="2" applyNumberFormat="1" applyFont="1" applyFill="1" applyBorder="1"/>
    <xf numFmtId="10" fontId="0" fillId="8" borderId="21" xfId="2" applyNumberFormat="1" applyFont="1" applyFill="1" applyBorder="1" applyAlignment="1">
      <alignment horizontal="center"/>
    </xf>
    <xf numFmtId="10" fontId="0" fillId="8" borderId="23" xfId="2" applyNumberFormat="1" applyFont="1" applyFill="1" applyBorder="1" applyAlignment="1">
      <alignment horizontal="center"/>
    </xf>
    <xf numFmtId="8" fontId="1" fillId="0" borderId="16" xfId="0" applyNumberFormat="1" applyFont="1" applyBorder="1" applyAlignment="1">
      <alignment horizontal="center"/>
    </xf>
    <xf numFmtId="44" fontId="0" fillId="0" borderId="17" xfId="1" applyFont="1" applyFill="1" applyBorder="1"/>
    <xf numFmtId="44" fontId="0" fillId="0" borderId="22" xfId="1" applyFont="1" applyFill="1" applyBorder="1"/>
    <xf numFmtId="44" fontId="0" fillId="0" borderId="24" xfId="1" applyFont="1" applyFill="1" applyBorder="1"/>
    <xf numFmtId="44" fontId="0" fillId="0" borderId="25" xfId="1" applyFont="1" applyFill="1" applyBorder="1"/>
    <xf numFmtId="8" fontId="14" fillId="5" borderId="18" xfId="0" applyNumberFormat="1" applyFont="1" applyFill="1" applyBorder="1" applyAlignment="1">
      <alignment horizontal="center"/>
    </xf>
    <xf numFmtId="2" fontId="0" fillId="8" borderId="21" xfId="2" applyNumberFormat="1" applyFont="1" applyFill="1" applyBorder="1" applyAlignment="1">
      <alignment horizontal="center"/>
    </xf>
    <xf numFmtId="2" fontId="0" fillId="8" borderId="23" xfId="2" applyNumberFormat="1" applyFont="1" applyFill="1" applyBorder="1" applyAlignment="1">
      <alignment horizontal="center"/>
    </xf>
    <xf numFmtId="8" fontId="14" fillId="5" borderId="20" xfId="0" applyNumberFormat="1" applyFont="1" applyFill="1" applyBorder="1" applyAlignment="1">
      <alignment horizontal="center"/>
    </xf>
    <xf numFmtId="44" fontId="0" fillId="0" borderId="22" xfId="1" applyFont="1" applyFill="1" applyBorder="1" applyAlignment="1">
      <alignment horizontal="center"/>
    </xf>
    <xf numFmtId="44" fontId="0" fillId="0" borderId="25" xfId="1" applyFont="1" applyFill="1" applyBorder="1" applyAlignment="1">
      <alignment horizontal="center"/>
    </xf>
    <xf numFmtId="10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Medium9"/>
  <colors>
    <mruColors>
      <color rgb="FFBD20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workbookViewId="0">
      <selection activeCell="P12" sqref="P12"/>
    </sheetView>
  </sheetViews>
  <sheetFormatPr baseColWidth="10" defaultColWidth="8.83203125" defaultRowHeight="15" x14ac:dyDescent="0.2"/>
  <cols>
    <col min="1" max="1" width="53.6640625" customWidth="1"/>
    <col min="2" max="2" width="9.83203125" customWidth="1"/>
    <col min="3" max="3" width="10.33203125" customWidth="1"/>
    <col min="4" max="4" width="10.33203125" bestFit="1" customWidth="1"/>
    <col min="5" max="5" width="10.1640625" customWidth="1"/>
    <col min="6" max="6" width="8.1640625" bestFit="1" customWidth="1"/>
    <col min="7" max="7" width="11.33203125" customWidth="1"/>
    <col min="8" max="8" width="10.33203125" bestFit="1" customWidth="1"/>
    <col min="9" max="9" width="11.1640625" customWidth="1"/>
    <col min="10" max="10" width="8.1640625" bestFit="1" customWidth="1"/>
    <col min="11" max="11" width="11.83203125" customWidth="1"/>
    <col min="12" max="12" width="9.83203125" customWidth="1"/>
  </cols>
  <sheetData>
    <row r="1" spans="1:11" ht="16" x14ac:dyDescent="0.2">
      <c r="A1" s="15" t="s">
        <v>0</v>
      </c>
      <c r="D1" s="15" t="s">
        <v>1</v>
      </c>
      <c r="F1" s="15"/>
      <c r="H1" s="15" t="s">
        <v>2</v>
      </c>
      <c r="J1" s="15"/>
    </row>
    <row r="2" spans="1:11" x14ac:dyDescent="0.2">
      <c r="A2" s="12"/>
      <c r="B2" s="16"/>
      <c r="C2" s="13" t="s">
        <v>3</v>
      </c>
      <c r="D2" s="16"/>
      <c r="E2" s="13" t="s">
        <v>4</v>
      </c>
      <c r="F2" s="16"/>
      <c r="G2" s="13" t="s">
        <v>3</v>
      </c>
      <c r="H2" s="16"/>
      <c r="I2" s="13" t="s">
        <v>5</v>
      </c>
      <c r="J2" s="16"/>
      <c r="K2" s="13" t="s">
        <v>3</v>
      </c>
    </row>
    <row r="3" spans="1:11" x14ac:dyDescent="0.2">
      <c r="A3" s="14" t="s">
        <v>6</v>
      </c>
      <c r="B3" s="16"/>
      <c r="C3" s="13" t="s">
        <v>7</v>
      </c>
      <c r="D3" s="16"/>
      <c r="E3" s="13" t="s">
        <v>7</v>
      </c>
      <c r="F3" s="16"/>
      <c r="G3" s="13" t="s">
        <v>8</v>
      </c>
      <c r="H3" s="16"/>
      <c r="I3" s="13" t="s">
        <v>8</v>
      </c>
      <c r="J3" s="16"/>
      <c r="K3" s="13" t="s">
        <v>9</v>
      </c>
    </row>
    <row r="4" spans="1:11" x14ac:dyDescent="0.2">
      <c r="A4" s="12"/>
      <c r="B4" s="12">
        <v>2025</v>
      </c>
      <c r="C4" s="12">
        <v>2024</v>
      </c>
      <c r="D4" s="12">
        <v>2025</v>
      </c>
      <c r="E4" s="12">
        <v>2024</v>
      </c>
      <c r="F4" s="12">
        <v>2025</v>
      </c>
      <c r="G4" s="12">
        <v>2024</v>
      </c>
      <c r="H4" s="12">
        <v>2025</v>
      </c>
      <c r="I4" s="12">
        <v>2024</v>
      </c>
      <c r="J4" s="12">
        <v>2025</v>
      </c>
      <c r="K4" s="12">
        <v>2024</v>
      </c>
    </row>
    <row r="5" spans="1:11" x14ac:dyDescent="0.2">
      <c r="A5" s="39" t="s">
        <v>10</v>
      </c>
      <c r="B5" s="27"/>
      <c r="C5" s="17"/>
      <c r="D5" s="27"/>
      <c r="E5" s="17"/>
      <c r="F5" s="27"/>
      <c r="G5" s="17"/>
      <c r="H5" s="27"/>
      <c r="I5" s="17"/>
      <c r="J5" s="27"/>
      <c r="K5" s="17"/>
    </row>
    <row r="6" spans="1:11" x14ac:dyDescent="0.2">
      <c r="A6" t="s">
        <v>11</v>
      </c>
      <c r="B6" s="29">
        <v>83331</v>
      </c>
      <c r="C6" s="1">
        <v>87792</v>
      </c>
      <c r="D6" s="29">
        <v>243866</v>
      </c>
      <c r="E6" s="1">
        <v>258189</v>
      </c>
      <c r="F6" s="29">
        <v>79477</v>
      </c>
      <c r="G6" s="1">
        <v>89986</v>
      </c>
      <c r="H6" s="29">
        <v>160535</v>
      </c>
      <c r="I6" s="1">
        <v>170397</v>
      </c>
      <c r="J6" s="29">
        <v>81058</v>
      </c>
      <c r="K6" s="1">
        <v>80411</v>
      </c>
    </row>
    <row r="7" spans="1:11" x14ac:dyDescent="0.2">
      <c r="A7" t="s">
        <v>12</v>
      </c>
      <c r="B7" s="29">
        <v>1267</v>
      </c>
      <c r="C7" s="1">
        <v>1481</v>
      </c>
      <c r="D7" s="29">
        <v>4098</v>
      </c>
      <c r="E7" s="1">
        <v>5067</v>
      </c>
      <c r="F7" s="29">
        <v>1462</v>
      </c>
      <c r="G7" s="1">
        <v>1744</v>
      </c>
      <c r="H7" s="29">
        <v>2831</v>
      </c>
      <c r="I7" s="1">
        <v>3586</v>
      </c>
      <c r="J7" s="29">
        <v>1369</v>
      </c>
      <c r="K7" s="1">
        <v>1842</v>
      </c>
    </row>
    <row r="8" spans="1:11" x14ac:dyDescent="0.2">
      <c r="A8" t="s">
        <v>13</v>
      </c>
      <c r="B8" s="29">
        <v>696</v>
      </c>
      <c r="C8" s="1">
        <v>743</v>
      </c>
      <c r="D8" s="29">
        <v>1966</v>
      </c>
      <c r="E8" s="1">
        <v>2903</v>
      </c>
      <c r="F8" s="29">
        <v>567</v>
      </c>
      <c r="G8" s="1">
        <v>1330</v>
      </c>
      <c r="H8" s="29">
        <v>1270</v>
      </c>
      <c r="I8" s="1">
        <v>2160</v>
      </c>
      <c r="J8" s="29">
        <v>703</v>
      </c>
      <c r="K8" s="1">
        <v>830</v>
      </c>
    </row>
    <row r="9" spans="1:11" x14ac:dyDescent="0.2">
      <c r="A9" s="2" t="s">
        <v>14</v>
      </c>
      <c r="B9" s="30">
        <v>85294</v>
      </c>
      <c r="C9" s="3">
        <v>90016</v>
      </c>
      <c r="D9" s="30">
        <v>249930</v>
      </c>
      <c r="E9" s="3">
        <v>266159</v>
      </c>
      <c r="F9" s="30">
        <v>81506</v>
      </c>
      <c r="G9" s="3">
        <v>93060</v>
      </c>
      <c r="H9" s="30">
        <v>164636</v>
      </c>
      <c r="I9" s="3">
        <v>176143</v>
      </c>
      <c r="J9" s="30">
        <v>83130</v>
      </c>
      <c r="K9" s="3">
        <v>83083</v>
      </c>
    </row>
    <row r="10" spans="1:11" x14ac:dyDescent="0.2">
      <c r="A10" s="25" t="s">
        <v>15</v>
      </c>
      <c r="B10" s="29"/>
      <c r="C10" s="1"/>
      <c r="D10" s="29"/>
      <c r="E10" s="1"/>
      <c r="F10" s="29"/>
      <c r="G10" s="1"/>
      <c r="H10" s="29"/>
      <c r="I10" s="1"/>
      <c r="J10" s="29"/>
      <c r="K10" s="1"/>
    </row>
    <row r="11" spans="1:11" x14ac:dyDescent="0.2">
      <c r="A11" t="s">
        <v>16</v>
      </c>
      <c r="B11" s="29">
        <v>47928</v>
      </c>
      <c r="C11" s="1">
        <v>51261</v>
      </c>
      <c r="D11" s="29">
        <v>140043</v>
      </c>
      <c r="E11" s="1">
        <v>153061</v>
      </c>
      <c r="F11" s="29">
        <v>45327</v>
      </c>
      <c r="G11" s="1">
        <v>54199</v>
      </c>
      <c r="H11" s="29">
        <v>92115</v>
      </c>
      <c r="I11" s="1">
        <v>101800</v>
      </c>
      <c r="J11" s="29">
        <v>46788</v>
      </c>
      <c r="K11" s="1">
        <v>47601</v>
      </c>
    </row>
    <row r="12" spans="1:11" x14ac:dyDescent="0.2">
      <c r="A12" t="s">
        <v>17</v>
      </c>
      <c r="B12" s="29">
        <v>10094</v>
      </c>
      <c r="C12" s="1">
        <v>9881</v>
      </c>
      <c r="D12" s="29">
        <v>30279</v>
      </c>
      <c r="E12" s="1">
        <v>28776</v>
      </c>
      <c r="F12" s="29">
        <v>10102</v>
      </c>
      <c r="G12" s="1">
        <v>9804</v>
      </c>
      <c r="H12" s="29">
        <v>20185</v>
      </c>
      <c r="I12" s="1">
        <v>18895</v>
      </c>
      <c r="J12" s="29">
        <v>10083</v>
      </c>
      <c r="K12" s="1">
        <v>9091</v>
      </c>
    </row>
    <row r="13" spans="1:11" x14ac:dyDescent="0.2">
      <c r="A13" t="s">
        <v>18</v>
      </c>
      <c r="B13" s="29">
        <v>3032</v>
      </c>
      <c r="C13" s="1">
        <v>2296</v>
      </c>
      <c r="D13" s="29">
        <v>8100</v>
      </c>
      <c r="E13" s="1">
        <v>7359</v>
      </c>
      <c r="F13" s="29">
        <v>2528</v>
      </c>
      <c r="G13" s="1">
        <v>2568</v>
      </c>
      <c r="H13" s="29">
        <v>5068</v>
      </c>
      <c r="I13" s="1">
        <v>5063</v>
      </c>
      <c r="J13" s="29">
        <v>2540</v>
      </c>
      <c r="K13" s="1">
        <v>2495</v>
      </c>
    </row>
    <row r="14" spans="1:11" x14ac:dyDescent="0.2">
      <c r="A14" t="s">
        <v>19</v>
      </c>
      <c r="B14" s="29">
        <v>6475</v>
      </c>
      <c r="C14" s="1">
        <v>6258</v>
      </c>
      <c r="D14" s="29">
        <v>18278</v>
      </c>
      <c r="E14" s="1">
        <v>16857</v>
      </c>
      <c r="F14" s="29">
        <v>6101</v>
      </c>
      <c r="G14" s="1">
        <v>5787</v>
      </c>
      <c r="H14" s="29">
        <v>11803</v>
      </c>
      <c r="I14" s="1">
        <v>10599</v>
      </c>
      <c r="J14" s="29">
        <v>5702</v>
      </c>
      <c r="K14" s="1">
        <v>4812</v>
      </c>
    </row>
    <row r="15" spans="1:11" x14ac:dyDescent="0.2">
      <c r="A15" t="s">
        <v>20</v>
      </c>
      <c r="B15" s="29">
        <v>149</v>
      </c>
      <c r="C15" s="1">
        <v>339</v>
      </c>
      <c r="D15" s="29">
        <v>464</v>
      </c>
      <c r="E15" s="1">
        <v>640</v>
      </c>
      <c r="F15" s="29">
        <v>251</v>
      </c>
      <c r="G15" s="1">
        <v>153</v>
      </c>
      <c r="H15" s="29">
        <v>315</v>
      </c>
      <c r="I15" s="1">
        <v>301</v>
      </c>
      <c r="J15" s="29">
        <v>64</v>
      </c>
      <c r="K15" s="1">
        <v>148</v>
      </c>
    </row>
    <row r="16" spans="1:11" x14ac:dyDescent="0.2">
      <c r="A16" t="s">
        <v>21</v>
      </c>
      <c r="B16" s="29">
        <v>119</v>
      </c>
      <c r="C16" s="1">
        <v>33</v>
      </c>
      <c r="D16" s="29">
        <v>322</v>
      </c>
      <c r="E16" s="1">
        <v>90</v>
      </c>
      <c r="F16" s="29">
        <v>90</v>
      </c>
      <c r="G16" s="1">
        <v>34</v>
      </c>
      <c r="H16" s="29">
        <v>203</v>
      </c>
      <c r="I16" s="1">
        <v>57</v>
      </c>
      <c r="J16" s="29">
        <v>113</v>
      </c>
      <c r="K16" s="1">
        <v>23</v>
      </c>
    </row>
    <row r="17" spans="1:11" x14ac:dyDescent="0.2">
      <c r="A17" t="s">
        <v>22</v>
      </c>
      <c r="B17" s="29">
        <v>90</v>
      </c>
      <c r="C17" s="1">
        <v>207</v>
      </c>
      <c r="D17" s="29">
        <v>440</v>
      </c>
      <c r="E17" s="1">
        <v>699</v>
      </c>
      <c r="F17" s="29">
        <v>145</v>
      </c>
      <c r="G17" s="1">
        <v>271</v>
      </c>
      <c r="H17" s="29">
        <v>250</v>
      </c>
      <c r="I17" s="1">
        <v>492</v>
      </c>
      <c r="J17" s="29">
        <v>205</v>
      </c>
      <c r="K17" s="1">
        <v>221</v>
      </c>
    </row>
    <row r="18" spans="1:11" x14ac:dyDescent="0.2">
      <c r="A18" t="s">
        <v>23</v>
      </c>
      <c r="B18" s="29">
        <v>6475</v>
      </c>
      <c r="C18" s="1">
        <v>6715</v>
      </c>
      <c r="D18" s="29">
        <v>18767</v>
      </c>
      <c r="E18" s="1">
        <v>19617</v>
      </c>
      <c r="F18" s="29">
        <v>6257</v>
      </c>
      <c r="G18" s="1">
        <v>6579</v>
      </c>
      <c r="H18" s="29">
        <v>12292</v>
      </c>
      <c r="I18" s="1">
        <v>12902</v>
      </c>
      <c r="J18" s="29">
        <v>6035</v>
      </c>
      <c r="K18" s="1">
        <v>6323</v>
      </c>
    </row>
    <row r="19" spans="1:11" x14ac:dyDescent="0.2">
      <c r="A19" s="2" t="s">
        <v>24</v>
      </c>
      <c r="B19" s="30">
        <v>74362</v>
      </c>
      <c r="C19" s="3">
        <v>76990</v>
      </c>
      <c r="D19" s="30">
        <v>216693</v>
      </c>
      <c r="E19" s="3">
        <v>227099</v>
      </c>
      <c r="F19" s="30">
        <v>70801</v>
      </c>
      <c r="G19" s="3">
        <v>79395</v>
      </c>
      <c r="H19" s="30">
        <v>142331</v>
      </c>
      <c r="I19" s="3">
        <v>150109</v>
      </c>
      <c r="J19" s="30">
        <v>71530</v>
      </c>
      <c r="K19" s="3">
        <v>70714</v>
      </c>
    </row>
    <row r="20" spans="1:11" x14ac:dyDescent="0.2">
      <c r="A20" s="8" t="s">
        <v>25</v>
      </c>
      <c r="B20" s="31">
        <v>10932</v>
      </c>
      <c r="C20" s="18">
        <v>13026</v>
      </c>
      <c r="D20" s="31">
        <v>33237</v>
      </c>
      <c r="E20" s="18">
        <v>39060</v>
      </c>
      <c r="F20" s="31">
        <v>10705</v>
      </c>
      <c r="G20" s="18">
        <v>13665</v>
      </c>
      <c r="H20" s="31">
        <v>22305</v>
      </c>
      <c r="I20" s="18">
        <v>26034</v>
      </c>
      <c r="J20" s="31">
        <v>11600</v>
      </c>
      <c r="K20" s="18">
        <v>12369</v>
      </c>
    </row>
    <row r="21" spans="1:11" x14ac:dyDescent="0.2">
      <c r="A21" t="s">
        <v>26</v>
      </c>
      <c r="B21" s="29">
        <v>3164</v>
      </c>
      <c r="C21" s="1">
        <v>4055</v>
      </c>
      <c r="D21" s="29">
        <v>10082</v>
      </c>
      <c r="E21" s="1">
        <v>11952</v>
      </c>
      <c r="F21" s="29">
        <v>3351</v>
      </c>
      <c r="G21" s="1">
        <v>4094</v>
      </c>
      <c r="H21" s="29">
        <v>6918</v>
      </c>
      <c r="I21" s="1">
        <v>7897</v>
      </c>
      <c r="J21" s="29">
        <v>3567</v>
      </c>
      <c r="K21" s="1">
        <v>3803</v>
      </c>
    </row>
    <row r="22" spans="1:11" x14ac:dyDescent="0.2">
      <c r="A22" s="4" t="s">
        <v>27</v>
      </c>
      <c r="B22" s="32">
        <v>7768</v>
      </c>
      <c r="C22" s="5">
        <v>8971</v>
      </c>
      <c r="D22" s="32">
        <v>23155</v>
      </c>
      <c r="E22" s="5">
        <v>27108</v>
      </c>
      <c r="F22" s="32">
        <v>7354</v>
      </c>
      <c r="G22" s="5">
        <v>9571</v>
      </c>
      <c r="H22" s="32">
        <v>15387</v>
      </c>
      <c r="I22" s="5">
        <v>18137</v>
      </c>
      <c r="J22" s="32">
        <v>8033</v>
      </c>
      <c r="K22" s="5">
        <v>8566</v>
      </c>
    </row>
    <row r="23" spans="1:11" x14ac:dyDescent="0.2">
      <c r="A23" t="s">
        <v>28</v>
      </c>
      <c r="B23" s="29">
        <v>220</v>
      </c>
      <c r="C23" s="1">
        <v>361</v>
      </c>
      <c r="D23" s="29">
        <v>812</v>
      </c>
      <c r="E23" s="1">
        <v>1038</v>
      </c>
      <c r="F23" s="29">
        <v>272</v>
      </c>
      <c r="G23" s="1">
        <v>331</v>
      </c>
      <c r="H23" s="29">
        <v>592</v>
      </c>
      <c r="I23" s="1">
        <v>677</v>
      </c>
      <c r="J23" s="29">
        <v>320</v>
      </c>
      <c r="K23" s="1">
        <v>346</v>
      </c>
    </row>
    <row r="24" spans="1:11" x14ac:dyDescent="0.2">
      <c r="A24" s="6" t="s">
        <v>29</v>
      </c>
      <c r="B24" s="33">
        <v>7548</v>
      </c>
      <c r="C24" s="7">
        <v>8610</v>
      </c>
      <c r="D24" s="33">
        <v>22343</v>
      </c>
      <c r="E24" s="7">
        <v>26070</v>
      </c>
      <c r="F24" s="33">
        <v>7082</v>
      </c>
      <c r="G24" s="7">
        <v>9240</v>
      </c>
      <c r="H24" s="33">
        <v>14795</v>
      </c>
      <c r="I24" s="7">
        <v>17460</v>
      </c>
      <c r="J24" s="33">
        <v>7713</v>
      </c>
      <c r="K24" s="7">
        <v>8220</v>
      </c>
    </row>
    <row r="25" spans="1:11" x14ac:dyDescent="0.2">
      <c r="A25" s="8" t="s">
        <v>30</v>
      </c>
      <c r="B25" s="34">
        <v>1.76</v>
      </c>
      <c r="C25" s="9">
        <v>1.92</v>
      </c>
      <c r="D25" s="34">
        <v>5.16</v>
      </c>
      <c r="E25" s="9">
        <v>6.12</v>
      </c>
      <c r="F25" s="34">
        <v>1.64</v>
      </c>
      <c r="G25" s="9">
        <v>2.14</v>
      </c>
      <c r="H25" s="34">
        <v>3.4</v>
      </c>
      <c r="I25" s="9">
        <v>4.2</v>
      </c>
      <c r="J25" s="34">
        <v>1.76</v>
      </c>
      <c r="K25" s="9">
        <v>2.06</v>
      </c>
    </row>
    <row r="26" spans="1:11" x14ac:dyDescent="0.2">
      <c r="A26" s="10" t="s">
        <v>31</v>
      </c>
      <c r="B26" s="35">
        <v>1.76</v>
      </c>
      <c r="C26" s="11">
        <v>1.92</v>
      </c>
      <c r="D26" s="35">
        <v>5.16</v>
      </c>
      <c r="E26" s="11">
        <v>6.12</v>
      </c>
      <c r="F26" s="35">
        <v>1.64</v>
      </c>
      <c r="G26" s="11">
        <v>2.14</v>
      </c>
      <c r="H26" s="35">
        <v>3.4</v>
      </c>
      <c r="I26" s="11">
        <v>4.2</v>
      </c>
      <c r="J26" s="35">
        <v>1.76</v>
      </c>
      <c r="K26" s="11">
        <v>2.06</v>
      </c>
    </row>
    <row r="27" spans="1:1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0767-6014-48D6-A15C-9F892E4C8A27}">
  <dimension ref="A1:E30"/>
  <sheetViews>
    <sheetView workbookViewId="0">
      <selection activeCell="I25" sqref="I25"/>
    </sheetView>
  </sheetViews>
  <sheetFormatPr baseColWidth="10" defaultColWidth="8.83203125" defaultRowHeight="15" x14ac:dyDescent="0.2"/>
  <cols>
    <col min="1" max="1" width="43.1640625" customWidth="1"/>
    <col min="2" max="2" width="10" bestFit="1" customWidth="1"/>
    <col min="3" max="3" width="9.6640625" bestFit="1" customWidth="1"/>
    <col min="4" max="4" width="10.5" bestFit="1" customWidth="1"/>
    <col min="5" max="6" width="10.1640625" bestFit="1" customWidth="1"/>
  </cols>
  <sheetData>
    <row r="1" spans="1:5" ht="16" x14ac:dyDescent="0.2">
      <c r="A1" s="15" t="s">
        <v>32</v>
      </c>
    </row>
    <row r="2" spans="1:5" x14ac:dyDescent="0.2">
      <c r="A2" s="12"/>
      <c r="B2" s="13" t="s">
        <v>33</v>
      </c>
      <c r="C2" s="13" t="s">
        <v>34</v>
      </c>
      <c r="D2" s="13" t="s">
        <v>35</v>
      </c>
      <c r="E2" s="13">
        <v>2024</v>
      </c>
    </row>
    <row r="3" spans="1:5" x14ac:dyDescent="0.2">
      <c r="A3" s="14" t="s">
        <v>6</v>
      </c>
      <c r="B3" s="26">
        <v>45930</v>
      </c>
      <c r="C3" s="26">
        <v>45838</v>
      </c>
      <c r="D3" s="26">
        <v>45747</v>
      </c>
      <c r="E3" s="26">
        <v>45657</v>
      </c>
    </row>
    <row r="4" spans="1:5" x14ac:dyDescent="0.2">
      <c r="A4" s="39" t="s">
        <v>36</v>
      </c>
      <c r="B4" s="27"/>
      <c r="C4" s="27"/>
      <c r="D4" s="27"/>
      <c r="E4" s="17"/>
    </row>
    <row r="5" spans="1:5" x14ac:dyDescent="0.2">
      <c r="A5" s="25" t="s">
        <v>37</v>
      </c>
      <c r="B5" s="28"/>
      <c r="C5" s="28"/>
      <c r="D5" s="28"/>
    </row>
    <row r="6" spans="1:5" x14ac:dyDescent="0.2">
      <c r="A6" s="19" t="s">
        <v>38</v>
      </c>
      <c r="B6" s="36">
        <v>13814</v>
      </c>
      <c r="C6" s="36">
        <v>14352</v>
      </c>
      <c r="D6" s="36">
        <v>17036</v>
      </c>
      <c r="E6" s="20">
        <v>23029</v>
      </c>
    </row>
    <row r="7" spans="1:5" x14ac:dyDescent="0.2">
      <c r="A7" s="19" t="s">
        <v>39</v>
      </c>
      <c r="B7" s="36">
        <v>55</v>
      </c>
      <c r="C7" s="36">
        <v>1359</v>
      </c>
      <c r="D7" s="36">
        <v>1476</v>
      </c>
      <c r="E7" s="20">
        <v>158</v>
      </c>
    </row>
    <row r="8" spans="1:5" x14ac:dyDescent="0.2">
      <c r="A8" s="19" t="s">
        <v>40</v>
      </c>
      <c r="B8" s="36">
        <v>45285</v>
      </c>
      <c r="C8" s="36">
        <v>41792</v>
      </c>
      <c r="D8" s="36">
        <v>46303</v>
      </c>
      <c r="E8" s="20">
        <v>43681</v>
      </c>
    </row>
    <row r="9" spans="1:5" x14ac:dyDescent="0.2">
      <c r="A9" s="19" t="s">
        <v>41</v>
      </c>
      <c r="B9" s="36"/>
      <c r="C9" s="36"/>
      <c r="D9" s="36"/>
      <c r="E9" s="20"/>
    </row>
    <row r="10" spans="1:5" x14ac:dyDescent="0.2">
      <c r="A10" s="19" t="s">
        <v>42</v>
      </c>
      <c r="B10" s="36">
        <v>23174</v>
      </c>
      <c r="C10" s="36">
        <v>21364</v>
      </c>
      <c r="D10" s="36">
        <v>20502</v>
      </c>
      <c r="E10" s="20">
        <v>19444</v>
      </c>
    </row>
    <row r="11" spans="1:5" x14ac:dyDescent="0.2">
      <c r="A11" s="19" t="s">
        <v>43</v>
      </c>
      <c r="B11" s="36">
        <v>4064</v>
      </c>
      <c r="C11" s="36">
        <v>4007</v>
      </c>
      <c r="D11" s="36">
        <v>3976</v>
      </c>
      <c r="E11" s="20">
        <v>4080</v>
      </c>
    </row>
    <row r="12" spans="1:5" x14ac:dyDescent="0.2">
      <c r="A12" s="19" t="s">
        <v>44</v>
      </c>
      <c r="B12" s="36">
        <v>2113</v>
      </c>
      <c r="C12" s="36">
        <v>2234</v>
      </c>
      <c r="D12" s="36">
        <v>1940</v>
      </c>
      <c r="E12" s="20">
        <v>1598</v>
      </c>
    </row>
    <row r="13" spans="1:5" x14ac:dyDescent="0.2">
      <c r="A13" s="21" t="s">
        <v>45</v>
      </c>
      <c r="B13" s="37">
        <v>88505</v>
      </c>
      <c r="C13" s="37">
        <v>85108</v>
      </c>
      <c r="D13" s="37">
        <v>91233</v>
      </c>
      <c r="E13" s="22">
        <v>91990</v>
      </c>
    </row>
    <row r="14" spans="1:5" x14ac:dyDescent="0.2">
      <c r="A14" s="19" t="s">
        <v>46</v>
      </c>
      <c r="B14" s="36">
        <v>46138</v>
      </c>
      <c r="C14" s="36">
        <v>46092</v>
      </c>
      <c r="D14" s="36">
        <v>47853</v>
      </c>
      <c r="E14" s="20">
        <v>47200</v>
      </c>
    </row>
    <row r="15" spans="1:5" x14ac:dyDescent="0.2">
      <c r="A15" s="19" t="s">
        <v>47</v>
      </c>
      <c r="B15" s="36">
        <v>298388</v>
      </c>
      <c r="C15" s="36">
        <v>295356</v>
      </c>
      <c r="D15" s="36">
        <v>292646</v>
      </c>
      <c r="E15" s="20">
        <v>294318</v>
      </c>
    </row>
    <row r="16" spans="1:5" x14ac:dyDescent="0.2">
      <c r="A16" s="19" t="s">
        <v>48</v>
      </c>
      <c r="B16" s="36">
        <v>21309</v>
      </c>
      <c r="C16" s="36">
        <v>21041</v>
      </c>
      <c r="D16" s="36">
        <v>20176</v>
      </c>
      <c r="E16" s="20">
        <v>19967</v>
      </c>
    </row>
    <row r="17" spans="1:5" x14ac:dyDescent="0.2">
      <c r="A17" s="23" t="s">
        <v>49</v>
      </c>
      <c r="B17" s="38">
        <v>454340</v>
      </c>
      <c r="C17" s="38">
        <v>447597</v>
      </c>
      <c r="D17" s="38">
        <v>451908</v>
      </c>
      <c r="E17" s="24">
        <v>453475</v>
      </c>
    </row>
    <row r="18" spans="1:5" x14ac:dyDescent="0.2">
      <c r="A18" s="25" t="s">
        <v>50</v>
      </c>
      <c r="B18" s="36"/>
      <c r="C18" s="36"/>
      <c r="D18" s="36"/>
      <c r="E18" s="20"/>
    </row>
    <row r="19" spans="1:5" x14ac:dyDescent="0.2">
      <c r="A19" s="25" t="s">
        <v>51</v>
      </c>
      <c r="B19" s="36"/>
      <c r="C19" s="36"/>
      <c r="D19" s="36"/>
      <c r="E19" s="20"/>
    </row>
    <row r="20" spans="1:5" x14ac:dyDescent="0.2">
      <c r="A20" s="19" t="s">
        <v>52</v>
      </c>
      <c r="B20" s="36">
        <v>9212</v>
      </c>
      <c r="C20" s="36">
        <v>5419</v>
      </c>
      <c r="D20" s="36">
        <v>4728</v>
      </c>
      <c r="E20" s="20">
        <v>4955</v>
      </c>
    </row>
    <row r="21" spans="1:5" x14ac:dyDescent="0.2">
      <c r="A21" s="19" t="s">
        <v>53</v>
      </c>
      <c r="B21" s="36">
        <v>65382</v>
      </c>
      <c r="C21" s="36">
        <v>59725</v>
      </c>
      <c r="D21" s="36">
        <v>63987</v>
      </c>
      <c r="E21" s="20">
        <v>61297</v>
      </c>
    </row>
    <row r="22" spans="1:5" x14ac:dyDescent="0.2">
      <c r="A22" s="19" t="s">
        <v>54</v>
      </c>
      <c r="B22" s="36">
        <v>3256</v>
      </c>
      <c r="C22" s="36">
        <v>3017</v>
      </c>
      <c r="D22" s="36">
        <v>5114</v>
      </c>
      <c r="E22" s="20">
        <v>4055</v>
      </c>
    </row>
    <row r="23" spans="1:5" x14ac:dyDescent="0.2">
      <c r="A23" s="21" t="s">
        <v>55</v>
      </c>
      <c r="B23" s="37">
        <v>77850</v>
      </c>
      <c r="C23" s="37">
        <v>68181</v>
      </c>
      <c r="D23" s="37">
        <v>73829</v>
      </c>
      <c r="E23" s="22">
        <v>70307</v>
      </c>
    </row>
    <row r="24" spans="1:5" x14ac:dyDescent="0.2">
      <c r="A24" s="19" t="s">
        <v>56</v>
      </c>
      <c r="B24" s="36">
        <v>32824</v>
      </c>
      <c r="C24" s="36">
        <v>33570</v>
      </c>
      <c r="D24" s="36">
        <v>32823</v>
      </c>
      <c r="E24" s="20">
        <v>36755</v>
      </c>
    </row>
    <row r="25" spans="1:5" x14ac:dyDescent="0.2">
      <c r="A25" s="19" t="s">
        <v>57</v>
      </c>
      <c r="B25" s="36">
        <v>10394</v>
      </c>
      <c r="C25" s="36">
        <v>10352</v>
      </c>
      <c r="D25" s="36">
        <v>10015</v>
      </c>
      <c r="E25" s="20">
        <v>9700</v>
      </c>
    </row>
    <row r="26" spans="1:5" x14ac:dyDescent="0.2">
      <c r="A26" s="19" t="s">
        <v>58</v>
      </c>
      <c r="B26" s="36">
        <v>39942</v>
      </c>
      <c r="C26" s="36">
        <v>39368</v>
      </c>
      <c r="D26" s="36">
        <v>39091</v>
      </c>
      <c r="E26" s="20">
        <v>39042</v>
      </c>
    </row>
    <row r="27" spans="1:5" x14ac:dyDescent="0.2">
      <c r="A27" t="s">
        <v>59</v>
      </c>
      <c r="B27" s="29">
        <v>1145</v>
      </c>
      <c r="C27" s="29">
        <v>1113</v>
      </c>
      <c r="D27" s="29">
        <v>1381</v>
      </c>
      <c r="E27" s="1">
        <v>1346</v>
      </c>
    </row>
    <row r="28" spans="1:5" x14ac:dyDescent="0.2">
      <c r="A28" t="s">
        <v>60</v>
      </c>
      <c r="B28" s="29">
        <v>23962</v>
      </c>
      <c r="C28" s="29">
        <v>25071</v>
      </c>
      <c r="D28" s="29">
        <v>24963</v>
      </c>
      <c r="E28" s="1">
        <v>25719</v>
      </c>
    </row>
    <row r="29" spans="1:5" x14ac:dyDescent="0.2">
      <c r="A29" s="6" t="s">
        <v>61</v>
      </c>
      <c r="B29" s="33">
        <v>186117</v>
      </c>
      <c r="C29" s="33">
        <v>177635</v>
      </c>
      <c r="D29" s="33">
        <v>182102</v>
      </c>
      <c r="E29" s="7">
        <v>182869</v>
      </c>
    </row>
    <row r="30" spans="1:5" x14ac:dyDescent="0.2">
      <c r="A30" s="12"/>
      <c r="B30" s="12"/>
      <c r="C30" s="12"/>
      <c r="D30" s="12"/>
      <c r="E30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0A6E-DF6F-4116-853E-FF199551E3F7}">
  <dimension ref="A1:K38"/>
  <sheetViews>
    <sheetView topLeftCell="A10" workbookViewId="0">
      <selection activeCell="A29" sqref="A29:K38"/>
    </sheetView>
  </sheetViews>
  <sheetFormatPr baseColWidth="10" defaultColWidth="8.83203125" defaultRowHeight="15" x14ac:dyDescent="0.2"/>
  <cols>
    <col min="1" max="1" width="57.83203125" bestFit="1" customWidth="1"/>
    <col min="2" max="11" width="9.1640625" bestFit="1" customWidth="1"/>
  </cols>
  <sheetData>
    <row r="1" spans="1:11" ht="16" x14ac:dyDescent="0.2">
      <c r="A1" s="15" t="s">
        <v>62</v>
      </c>
    </row>
    <row r="2" spans="1:11" x14ac:dyDescent="0.2">
      <c r="A2" s="12"/>
      <c r="B2" s="16"/>
      <c r="C2" s="13"/>
      <c r="D2" s="16"/>
      <c r="E2" s="13"/>
      <c r="F2" s="13"/>
      <c r="G2" s="13"/>
      <c r="H2" s="13"/>
      <c r="I2" s="13"/>
      <c r="J2" s="13"/>
      <c r="K2" s="13"/>
    </row>
    <row r="3" spans="1:11" x14ac:dyDescent="0.2">
      <c r="A3" s="14" t="s">
        <v>6</v>
      </c>
      <c r="B3" s="16"/>
      <c r="C3" s="13"/>
      <c r="D3" s="16"/>
      <c r="E3" s="13"/>
      <c r="F3" s="13"/>
      <c r="G3" s="13"/>
      <c r="H3" s="13"/>
      <c r="I3" s="13"/>
      <c r="J3" s="13"/>
      <c r="K3" s="13"/>
    </row>
    <row r="4" spans="1:11" x14ac:dyDescent="0.2">
      <c r="A4" s="12"/>
      <c r="B4" s="12">
        <v>2024</v>
      </c>
      <c r="C4" s="12">
        <v>2023</v>
      </c>
      <c r="D4" s="12">
        <v>2022</v>
      </c>
      <c r="E4" s="12">
        <v>2021</v>
      </c>
      <c r="F4" s="12">
        <v>2020</v>
      </c>
      <c r="G4" s="12">
        <v>2019</v>
      </c>
      <c r="H4" s="12">
        <v>2018</v>
      </c>
      <c r="I4" s="12">
        <v>2017</v>
      </c>
      <c r="J4" s="12">
        <v>2016</v>
      </c>
      <c r="K4" s="12">
        <v>2015</v>
      </c>
    </row>
    <row r="5" spans="1:11" x14ac:dyDescent="0.2">
      <c r="A5" s="39" t="s">
        <v>10</v>
      </c>
      <c r="B5" s="27"/>
      <c r="C5" s="17"/>
      <c r="D5" s="27"/>
      <c r="E5" s="17"/>
      <c r="F5" s="27"/>
      <c r="G5" s="17"/>
      <c r="H5" s="27"/>
      <c r="I5" s="17"/>
      <c r="J5" s="27"/>
      <c r="K5" s="17"/>
    </row>
    <row r="6" spans="1:11" x14ac:dyDescent="0.2">
      <c r="A6" t="s">
        <v>11</v>
      </c>
      <c r="B6" s="40">
        <v>339247</v>
      </c>
      <c r="C6" s="41">
        <v>334697</v>
      </c>
      <c r="D6" s="40">
        <v>398675</v>
      </c>
      <c r="E6" s="41">
        <v>276692</v>
      </c>
      <c r="F6" s="40">
        <v>178574</v>
      </c>
      <c r="G6" s="41">
        <v>225583</v>
      </c>
      <c r="H6" s="40">
        <v>279332</v>
      </c>
      <c r="I6" s="41">
        <v>237162</v>
      </c>
      <c r="J6" s="40">
        <v>218608</v>
      </c>
      <c r="K6" s="41">
        <v>259488</v>
      </c>
    </row>
    <row r="7" spans="1:11" x14ac:dyDescent="0.2">
      <c r="A7" t="s">
        <v>12</v>
      </c>
      <c r="B7" s="40">
        <v>6194</v>
      </c>
      <c r="C7" s="41">
        <v>6385</v>
      </c>
      <c r="D7" s="40">
        <v>11463</v>
      </c>
      <c r="E7" s="41">
        <v>6657</v>
      </c>
      <c r="F7" s="40">
        <v>1732</v>
      </c>
      <c r="G7" s="41">
        <v>5441</v>
      </c>
      <c r="H7" s="40">
        <v>7355</v>
      </c>
      <c r="I7" s="41">
        <v>5380</v>
      </c>
      <c r="J7" s="40">
        <v>4806</v>
      </c>
      <c r="K7" s="41">
        <v>7644</v>
      </c>
    </row>
    <row r="8" spans="1:11" x14ac:dyDescent="0.2">
      <c r="A8" t="s">
        <v>13</v>
      </c>
      <c r="B8" s="40">
        <v>4144</v>
      </c>
      <c r="C8" s="41">
        <v>3500</v>
      </c>
      <c r="D8" s="40">
        <v>3542</v>
      </c>
      <c r="E8" s="41">
        <v>2291</v>
      </c>
      <c r="F8" s="40">
        <v>1196</v>
      </c>
      <c r="G8" s="41">
        <v>3914</v>
      </c>
      <c r="H8" s="40">
        <v>3525</v>
      </c>
      <c r="I8" s="41">
        <v>1821</v>
      </c>
      <c r="J8" s="40">
        <v>2680</v>
      </c>
      <c r="K8" s="41">
        <v>1750</v>
      </c>
    </row>
    <row r="9" spans="1:11" x14ac:dyDescent="0.2">
      <c r="A9" s="2" t="s">
        <v>14</v>
      </c>
      <c r="B9" s="42">
        <v>349585</v>
      </c>
      <c r="C9" s="43">
        <v>344582</v>
      </c>
      <c r="D9" s="42">
        <v>413680</v>
      </c>
      <c r="E9" s="43">
        <v>285640</v>
      </c>
      <c r="F9" s="42">
        <v>181502</v>
      </c>
      <c r="G9" s="43">
        <v>264938</v>
      </c>
      <c r="H9" s="42">
        <v>290212</v>
      </c>
      <c r="I9" s="43">
        <v>244363</v>
      </c>
      <c r="J9" s="42">
        <v>226094</v>
      </c>
      <c r="K9" s="43">
        <v>268882</v>
      </c>
    </row>
    <row r="10" spans="1:11" x14ac:dyDescent="0.2">
      <c r="A10" s="25" t="s">
        <v>15</v>
      </c>
      <c r="B10" s="40"/>
      <c r="C10" s="41"/>
      <c r="D10" s="40"/>
      <c r="E10" s="41"/>
      <c r="F10" s="40"/>
      <c r="G10" s="41"/>
      <c r="H10" s="40"/>
      <c r="I10" s="41"/>
      <c r="J10" s="40"/>
      <c r="K10" s="41"/>
    </row>
    <row r="11" spans="1:11" x14ac:dyDescent="0.2">
      <c r="A11" t="s">
        <v>16</v>
      </c>
      <c r="B11" s="40">
        <v>199454</v>
      </c>
      <c r="C11" s="41">
        <v>193029</v>
      </c>
      <c r="D11" s="40">
        <v>228959</v>
      </c>
      <c r="E11" s="41">
        <v>155164</v>
      </c>
      <c r="F11" s="40">
        <v>94007</v>
      </c>
      <c r="G11" s="41">
        <v>143801</v>
      </c>
      <c r="H11" s="40">
        <v>156172</v>
      </c>
      <c r="I11" s="41">
        <v>128217</v>
      </c>
      <c r="J11" s="40">
        <v>104171</v>
      </c>
      <c r="K11" s="41">
        <v>130003</v>
      </c>
    </row>
    <row r="12" spans="1:11" x14ac:dyDescent="0.2">
      <c r="A12" t="s">
        <v>17</v>
      </c>
      <c r="B12" s="40">
        <v>39609</v>
      </c>
      <c r="C12" s="41">
        <v>36885</v>
      </c>
      <c r="D12" s="40">
        <v>42609</v>
      </c>
      <c r="E12" s="41">
        <v>36035</v>
      </c>
      <c r="F12" s="40">
        <v>30431</v>
      </c>
      <c r="G12" s="41">
        <v>36826</v>
      </c>
      <c r="H12" s="40">
        <v>36682</v>
      </c>
      <c r="I12" s="41">
        <v>32690</v>
      </c>
      <c r="J12" s="40">
        <v>31927</v>
      </c>
      <c r="K12" s="41">
        <v>35587</v>
      </c>
    </row>
    <row r="13" spans="1:11" x14ac:dyDescent="0.2">
      <c r="A13" t="s">
        <v>18</v>
      </c>
      <c r="B13" s="40">
        <v>9976</v>
      </c>
      <c r="C13" s="41">
        <v>9919</v>
      </c>
      <c r="D13" s="40">
        <v>10095</v>
      </c>
      <c r="E13" s="41">
        <v>9574</v>
      </c>
      <c r="F13" s="40">
        <v>10168</v>
      </c>
      <c r="G13" s="41">
        <v>11398</v>
      </c>
      <c r="H13" s="40">
        <v>11480</v>
      </c>
      <c r="I13" s="41">
        <v>10649</v>
      </c>
      <c r="J13" s="40">
        <v>10799</v>
      </c>
      <c r="K13" s="41">
        <v>11501</v>
      </c>
    </row>
    <row r="14" spans="1:11" x14ac:dyDescent="0.2">
      <c r="A14" t="s">
        <v>19</v>
      </c>
      <c r="B14" s="40">
        <v>23442</v>
      </c>
      <c r="C14" s="41">
        <v>20641</v>
      </c>
      <c r="D14" s="40">
        <v>24040</v>
      </c>
      <c r="E14" s="41">
        <v>20607</v>
      </c>
      <c r="F14" s="40">
        <v>46009</v>
      </c>
      <c r="G14" s="41">
        <v>18998</v>
      </c>
      <c r="H14" s="40">
        <v>18745</v>
      </c>
      <c r="I14" s="41">
        <v>19893</v>
      </c>
      <c r="J14" s="40">
        <v>22308</v>
      </c>
      <c r="K14" s="41">
        <v>18048</v>
      </c>
    </row>
    <row r="15" spans="1:11" x14ac:dyDescent="0.2">
      <c r="A15" t="s">
        <v>20</v>
      </c>
      <c r="B15" s="40">
        <v>826</v>
      </c>
      <c r="C15" s="41">
        <v>751</v>
      </c>
      <c r="D15" s="40">
        <v>1025</v>
      </c>
      <c r="E15" s="41">
        <v>1054</v>
      </c>
      <c r="F15" s="40">
        <v>1285</v>
      </c>
      <c r="G15" s="41">
        <v>1269</v>
      </c>
      <c r="H15" s="40">
        <v>1466</v>
      </c>
      <c r="I15" s="41">
        <v>1790</v>
      </c>
      <c r="J15" s="40">
        <v>1467</v>
      </c>
      <c r="K15" s="41">
        <v>1523</v>
      </c>
    </row>
    <row r="16" spans="1:11" x14ac:dyDescent="0.2">
      <c r="A16" t="s">
        <v>21</v>
      </c>
      <c r="B16" s="40">
        <v>121</v>
      </c>
      <c r="C16" s="41">
        <v>714</v>
      </c>
      <c r="D16" s="40">
        <v>482</v>
      </c>
      <c r="E16" s="41">
        <v>786</v>
      </c>
      <c r="F16" s="40">
        <v>1205</v>
      </c>
      <c r="G16" s="41">
        <v>1235</v>
      </c>
      <c r="H16" s="40">
        <v>1285</v>
      </c>
      <c r="I16" s="41">
        <v>1745</v>
      </c>
      <c r="J16" s="40">
        <v>1835</v>
      </c>
      <c r="K16" s="41"/>
    </row>
    <row r="17" spans="1:11" x14ac:dyDescent="0.2">
      <c r="A17" t="s">
        <v>22</v>
      </c>
      <c r="B17" s="40">
        <v>996</v>
      </c>
      <c r="C17" s="41">
        <v>849</v>
      </c>
      <c r="D17" s="40">
        <v>798</v>
      </c>
      <c r="E17" s="41">
        <v>947</v>
      </c>
      <c r="F17" s="40">
        <v>1158</v>
      </c>
      <c r="G17" s="41">
        <v>830</v>
      </c>
      <c r="H17" s="40">
        <v>766</v>
      </c>
      <c r="I17" s="41">
        <v>601</v>
      </c>
      <c r="J17" s="40">
        <v>453</v>
      </c>
      <c r="K17" s="41">
        <v>311</v>
      </c>
    </row>
    <row r="18" spans="1:11" x14ac:dyDescent="0.2">
      <c r="A18" t="s">
        <v>23</v>
      </c>
      <c r="B18" s="40">
        <v>26288</v>
      </c>
      <c r="C18" s="41">
        <v>29011</v>
      </c>
      <c r="D18" s="40">
        <v>27919</v>
      </c>
      <c r="E18" s="41">
        <v>30239</v>
      </c>
      <c r="F18" s="40">
        <v>26122</v>
      </c>
      <c r="G18" s="41">
        <v>30525</v>
      </c>
      <c r="H18" s="40">
        <v>32663</v>
      </c>
      <c r="I18" s="41">
        <v>30104</v>
      </c>
      <c r="J18" s="40">
        <v>29020</v>
      </c>
      <c r="K18" s="41">
        <v>22678</v>
      </c>
    </row>
    <row r="19" spans="1:11" x14ac:dyDescent="0.2">
      <c r="A19" s="2" t="s">
        <v>24</v>
      </c>
      <c r="B19" s="42">
        <v>300712</v>
      </c>
      <c r="C19" s="43">
        <v>291799</v>
      </c>
      <c r="D19" s="42">
        <v>335927</v>
      </c>
      <c r="E19" s="43">
        <v>254406</v>
      </c>
      <c r="F19" s="42">
        <v>210385</v>
      </c>
      <c r="G19" s="43">
        <v>244882</v>
      </c>
      <c r="H19" s="42">
        <v>259259</v>
      </c>
      <c r="I19" s="43">
        <v>225689</v>
      </c>
      <c r="J19" s="42">
        <v>200145</v>
      </c>
      <c r="K19" s="43">
        <v>246916</v>
      </c>
    </row>
    <row r="20" spans="1:11" x14ac:dyDescent="0.2">
      <c r="A20" s="8" t="s">
        <v>25</v>
      </c>
      <c r="B20" s="44">
        <v>48873</v>
      </c>
      <c r="C20" s="45">
        <v>52783</v>
      </c>
      <c r="D20" s="44">
        <v>77753</v>
      </c>
      <c r="E20" s="45">
        <v>31234</v>
      </c>
      <c r="F20" s="44">
        <v>-28883</v>
      </c>
      <c r="G20" s="45">
        <v>20056</v>
      </c>
      <c r="H20" s="44">
        <v>30953</v>
      </c>
      <c r="I20" s="45">
        <v>18674</v>
      </c>
      <c r="J20" s="44">
        <v>7969</v>
      </c>
      <c r="K20" s="45">
        <v>21966</v>
      </c>
    </row>
    <row r="21" spans="1:11" x14ac:dyDescent="0.2">
      <c r="A21" t="s">
        <v>26</v>
      </c>
      <c r="B21" s="40">
        <v>13810</v>
      </c>
      <c r="C21" s="41">
        <v>15429</v>
      </c>
      <c r="D21" s="40">
        <v>20176</v>
      </c>
      <c r="E21" s="41">
        <v>7636</v>
      </c>
      <c r="F21" s="40">
        <v>-5632</v>
      </c>
      <c r="G21" s="41">
        <v>5282</v>
      </c>
      <c r="H21" s="40">
        <v>9532</v>
      </c>
      <c r="I21" s="41">
        <v>-1174</v>
      </c>
      <c r="J21" s="40">
        <v>-406</v>
      </c>
      <c r="K21" s="41">
        <v>5415</v>
      </c>
    </row>
    <row r="22" spans="1:11" x14ac:dyDescent="0.2">
      <c r="A22" s="4" t="s">
        <v>27</v>
      </c>
      <c r="B22" s="46">
        <v>35063</v>
      </c>
      <c r="C22" s="47">
        <v>37354</v>
      </c>
      <c r="D22" s="46">
        <v>57577</v>
      </c>
      <c r="E22" s="47">
        <v>23598</v>
      </c>
      <c r="F22" s="46">
        <v>-23251</v>
      </c>
      <c r="G22" s="47">
        <v>14774</v>
      </c>
      <c r="H22" s="46">
        <v>21421</v>
      </c>
      <c r="I22" s="47">
        <v>19848</v>
      </c>
      <c r="J22" s="46">
        <v>8375</v>
      </c>
      <c r="K22" s="47">
        <v>16551</v>
      </c>
    </row>
    <row r="23" spans="1:11" x14ac:dyDescent="0.2">
      <c r="A23" t="s">
        <v>28</v>
      </c>
      <c r="B23" s="40">
        <v>1383</v>
      </c>
      <c r="C23" s="41">
        <v>1344</v>
      </c>
      <c r="D23" s="40">
        <v>20176</v>
      </c>
      <c r="E23" s="41">
        <v>558</v>
      </c>
      <c r="F23" s="40">
        <v>-811</v>
      </c>
      <c r="G23" s="41">
        <v>434</v>
      </c>
      <c r="H23" s="40">
        <v>581</v>
      </c>
      <c r="I23" s="41">
        <v>138</v>
      </c>
      <c r="J23" s="40">
        <v>535</v>
      </c>
      <c r="K23" s="41">
        <v>401</v>
      </c>
    </row>
    <row r="24" spans="1:11" x14ac:dyDescent="0.2">
      <c r="A24" s="6" t="s">
        <v>29</v>
      </c>
      <c r="B24" s="48">
        <v>33680</v>
      </c>
      <c r="C24" s="49">
        <v>36010</v>
      </c>
      <c r="D24" s="48">
        <v>55740</v>
      </c>
      <c r="E24" s="49">
        <v>23040</v>
      </c>
      <c r="F24" s="48">
        <v>-22440</v>
      </c>
      <c r="G24" s="49">
        <v>14340</v>
      </c>
      <c r="H24" s="48">
        <v>20840</v>
      </c>
      <c r="I24" s="49">
        <v>19710</v>
      </c>
      <c r="J24" s="48">
        <v>7840</v>
      </c>
      <c r="K24" s="49">
        <v>16150</v>
      </c>
    </row>
    <row r="25" spans="1:11" x14ac:dyDescent="0.2">
      <c r="A25" s="8" t="s">
        <v>30</v>
      </c>
      <c r="B25" s="50">
        <v>7.84</v>
      </c>
      <c r="C25" s="51">
        <v>8.89</v>
      </c>
      <c r="D25" s="50">
        <v>13.26</v>
      </c>
      <c r="E25" s="51">
        <v>5.39</v>
      </c>
      <c r="F25" s="50">
        <v>-5.25</v>
      </c>
      <c r="G25" s="51">
        <v>3.36</v>
      </c>
      <c r="H25" s="50">
        <v>4.88</v>
      </c>
      <c r="I25" s="51">
        <v>4.63</v>
      </c>
      <c r="J25" s="50">
        <v>1.88</v>
      </c>
      <c r="K25" s="51">
        <v>3.85</v>
      </c>
    </row>
    <row r="26" spans="1:11" x14ac:dyDescent="0.2">
      <c r="A26" s="10" t="s">
        <v>31</v>
      </c>
      <c r="B26" s="52">
        <v>7.84</v>
      </c>
      <c r="C26" s="53">
        <v>8.89</v>
      </c>
      <c r="D26" s="52">
        <v>13.26</v>
      </c>
      <c r="E26" s="53">
        <v>5.39</v>
      </c>
      <c r="F26" s="52">
        <v>-5.25</v>
      </c>
      <c r="G26" s="53">
        <v>3.36</v>
      </c>
      <c r="H26" s="52">
        <v>4.88</v>
      </c>
      <c r="I26" s="53">
        <v>4.63</v>
      </c>
      <c r="J26" s="52">
        <v>1.88</v>
      </c>
      <c r="K26" s="53">
        <v>3.85</v>
      </c>
    </row>
    <row r="27" spans="1:1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9" spans="1:11" x14ac:dyDescent="0.2">
      <c r="A29" s="76"/>
      <c r="B29" s="86"/>
      <c r="C29" s="86"/>
      <c r="D29" s="86"/>
      <c r="E29" s="86"/>
      <c r="F29" s="86"/>
      <c r="G29" s="86"/>
      <c r="H29" s="86"/>
      <c r="I29" s="86"/>
      <c r="J29" s="86"/>
      <c r="K29" s="86"/>
    </row>
    <row r="30" spans="1:11" x14ac:dyDescent="0.2">
      <c r="A30" s="77"/>
      <c r="B30" s="87"/>
      <c r="C30" s="87"/>
      <c r="D30" s="87"/>
      <c r="E30" s="87"/>
      <c r="F30" s="87"/>
      <c r="G30" s="87"/>
      <c r="H30" s="87"/>
      <c r="I30" s="87"/>
      <c r="J30" s="87"/>
      <c r="K30" s="87"/>
    </row>
    <row r="31" spans="1:11" x14ac:dyDescent="0.2">
      <c r="A31" s="76"/>
      <c r="B31" s="86"/>
      <c r="C31" s="86"/>
      <c r="D31" s="86"/>
      <c r="E31" s="86"/>
      <c r="F31" s="86"/>
      <c r="G31" s="86"/>
      <c r="H31" s="86"/>
      <c r="I31" s="86"/>
      <c r="J31" s="86"/>
      <c r="K31" s="86"/>
    </row>
    <row r="32" spans="1:11" x14ac:dyDescent="0.2">
      <c r="A32" s="6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">
      <c r="A33" s="6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">
      <c r="A34" s="6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</row>
    <row r="36" spans="1:11" x14ac:dyDescent="0.2">
      <c r="A36" s="6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">
      <c r="A37" s="6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">
      <c r="A38" s="61"/>
      <c r="B38" s="90"/>
      <c r="C38" s="90"/>
      <c r="D38" s="90"/>
      <c r="E38" s="90"/>
      <c r="F38" s="90"/>
      <c r="G38" s="90"/>
      <c r="H38" s="90"/>
      <c r="I38" s="90"/>
      <c r="J38" s="90"/>
      <c r="K38" s="9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FB003-7146-4684-A4ED-036C78EE57C4}">
  <dimension ref="A1:O56"/>
  <sheetViews>
    <sheetView topLeftCell="A15" workbookViewId="0">
      <selection activeCell="N35" sqref="N35"/>
    </sheetView>
  </sheetViews>
  <sheetFormatPr baseColWidth="10" defaultColWidth="8.83203125" defaultRowHeight="15" x14ac:dyDescent="0.2"/>
  <cols>
    <col min="1" max="1" width="57" bestFit="1" customWidth="1"/>
    <col min="2" max="2" width="13" bestFit="1" customWidth="1"/>
    <col min="3" max="11" width="10" bestFit="1" customWidth="1"/>
    <col min="13" max="13" width="26.1640625" bestFit="1" customWidth="1"/>
    <col min="14" max="14" width="10.33203125" bestFit="1" customWidth="1"/>
    <col min="15" max="15" width="7.1640625" bestFit="1" customWidth="1"/>
  </cols>
  <sheetData>
    <row r="1" spans="1:15" ht="16" x14ac:dyDescent="0.2">
      <c r="A1" s="15" t="s">
        <v>66</v>
      </c>
    </row>
    <row r="2" spans="1:15" x14ac:dyDescent="0.2">
      <c r="A2" s="12"/>
      <c r="B2" s="12"/>
      <c r="C2" s="13"/>
      <c r="D2" s="12"/>
      <c r="E2" s="13"/>
      <c r="F2" s="12"/>
      <c r="G2" s="13"/>
      <c r="H2" s="12"/>
      <c r="I2" s="13"/>
      <c r="J2" s="12"/>
      <c r="K2" s="13"/>
    </row>
    <row r="3" spans="1:15" x14ac:dyDescent="0.2">
      <c r="A3" s="14" t="s">
        <v>6</v>
      </c>
      <c r="B3" s="13">
        <v>2024</v>
      </c>
      <c r="C3" s="13">
        <v>2023</v>
      </c>
      <c r="D3" s="13">
        <v>2022</v>
      </c>
      <c r="E3" s="13">
        <v>2021</v>
      </c>
      <c r="F3" s="13">
        <v>2020</v>
      </c>
      <c r="G3" s="13">
        <v>2019</v>
      </c>
      <c r="H3" s="13">
        <v>2018</v>
      </c>
      <c r="I3" s="13">
        <v>2017</v>
      </c>
      <c r="J3" s="13">
        <v>2016</v>
      </c>
      <c r="K3" s="13">
        <v>2015</v>
      </c>
      <c r="M3" s="8"/>
    </row>
    <row r="4" spans="1:15" x14ac:dyDescent="0.2">
      <c r="A4" s="39" t="s">
        <v>36</v>
      </c>
      <c r="B4" s="60"/>
      <c r="C4" s="54"/>
      <c r="D4" s="60"/>
      <c r="E4" s="54"/>
      <c r="F4" s="60"/>
      <c r="G4" s="54"/>
      <c r="H4" s="60"/>
      <c r="I4" s="54"/>
      <c r="J4" s="60"/>
      <c r="K4" s="54"/>
      <c r="M4" s="124"/>
      <c r="N4" s="125"/>
    </row>
    <row r="5" spans="1:15" x14ac:dyDescent="0.2">
      <c r="A5" s="25" t="s">
        <v>37</v>
      </c>
      <c r="B5" s="61"/>
      <c r="C5" s="55"/>
      <c r="D5" s="61"/>
      <c r="E5" s="55"/>
      <c r="F5" s="61"/>
      <c r="G5" s="55"/>
      <c r="H5" s="61"/>
      <c r="I5" s="55"/>
      <c r="J5" s="61"/>
      <c r="K5" s="55"/>
      <c r="M5" s="124"/>
      <c r="N5" s="1"/>
    </row>
    <row r="6" spans="1:15" x14ac:dyDescent="0.2">
      <c r="A6" s="19" t="s">
        <v>38</v>
      </c>
      <c r="B6" s="62">
        <v>23029</v>
      </c>
      <c r="C6" s="56">
        <v>31539</v>
      </c>
      <c r="D6" s="62">
        <v>29640</v>
      </c>
      <c r="E6" s="56">
        <v>6802</v>
      </c>
      <c r="F6" s="62">
        <v>4364</v>
      </c>
      <c r="G6" s="56">
        <v>3089</v>
      </c>
      <c r="H6" s="62">
        <v>3042</v>
      </c>
      <c r="I6" s="56">
        <v>3177</v>
      </c>
      <c r="J6" s="62">
        <v>3657</v>
      </c>
      <c r="K6" s="56">
        <v>3705</v>
      </c>
      <c r="M6" s="124"/>
      <c r="N6" s="126"/>
    </row>
    <row r="7" spans="1:15" x14ac:dyDescent="0.2">
      <c r="A7" s="19" t="s">
        <v>39</v>
      </c>
      <c r="B7" s="62">
        <v>158</v>
      </c>
      <c r="C7" s="56">
        <v>29</v>
      </c>
      <c r="D7" s="62">
        <v>25</v>
      </c>
      <c r="E7" s="56">
        <v>0</v>
      </c>
      <c r="F7" s="62">
        <v>0</v>
      </c>
      <c r="G7" s="56">
        <v>0</v>
      </c>
      <c r="H7" s="62">
        <v>0</v>
      </c>
      <c r="I7" s="56">
        <v>0</v>
      </c>
      <c r="J7" s="62">
        <v>0</v>
      </c>
      <c r="K7" s="56">
        <v>0</v>
      </c>
      <c r="M7" s="127"/>
      <c r="N7" s="128"/>
      <c r="O7" s="124"/>
    </row>
    <row r="8" spans="1:15" x14ac:dyDescent="0.2">
      <c r="A8" s="19" t="s">
        <v>40</v>
      </c>
      <c r="B8" s="62">
        <v>43681</v>
      </c>
      <c r="C8" s="56">
        <v>38015</v>
      </c>
      <c r="D8" s="62">
        <v>41749</v>
      </c>
      <c r="E8" s="56">
        <v>32383</v>
      </c>
      <c r="F8" s="62">
        <v>20581</v>
      </c>
      <c r="G8" s="56">
        <v>26966</v>
      </c>
      <c r="H8" s="62">
        <v>24701</v>
      </c>
      <c r="I8" s="56">
        <v>25597</v>
      </c>
      <c r="J8" s="62">
        <v>21394</v>
      </c>
      <c r="K8" s="56">
        <v>19875</v>
      </c>
    </row>
    <row r="9" spans="1:15" x14ac:dyDescent="0.2">
      <c r="A9" s="19" t="s">
        <v>41</v>
      </c>
      <c r="B9" s="62"/>
      <c r="C9" s="56"/>
      <c r="D9" s="62"/>
      <c r="E9" s="56"/>
      <c r="G9" s="56"/>
      <c r="H9" s="62"/>
      <c r="I9" s="56"/>
      <c r="J9" s="62"/>
      <c r="K9" s="56"/>
      <c r="M9" s="124"/>
      <c r="N9" s="129"/>
    </row>
    <row r="10" spans="1:15" x14ac:dyDescent="0.2">
      <c r="A10" s="19" t="s">
        <v>42</v>
      </c>
      <c r="B10" s="62">
        <v>19444</v>
      </c>
      <c r="C10" s="56">
        <v>20528</v>
      </c>
      <c r="D10" s="62">
        <v>20434</v>
      </c>
      <c r="E10" s="56">
        <v>14519</v>
      </c>
      <c r="F10" s="62">
        <v>14169</v>
      </c>
      <c r="G10" s="56">
        <v>14010</v>
      </c>
      <c r="H10" s="62">
        <v>14803</v>
      </c>
      <c r="I10" s="56">
        <v>12871</v>
      </c>
      <c r="J10" s="62">
        <v>10877</v>
      </c>
      <c r="K10" s="56">
        <v>12037</v>
      </c>
      <c r="M10" s="124"/>
      <c r="N10" s="1"/>
    </row>
    <row r="11" spans="1:15" x14ac:dyDescent="0.2">
      <c r="A11" s="19" t="s">
        <v>43</v>
      </c>
      <c r="B11" s="62">
        <v>4080</v>
      </c>
      <c r="C11" s="56">
        <v>4592</v>
      </c>
      <c r="D11" s="62">
        <v>4001</v>
      </c>
      <c r="E11" s="56">
        <v>4261</v>
      </c>
      <c r="F11" s="62">
        <v>4681</v>
      </c>
      <c r="G11" s="56">
        <v>4518</v>
      </c>
      <c r="H11" s="62">
        <v>4155</v>
      </c>
      <c r="I11" s="56">
        <v>4121</v>
      </c>
      <c r="J11" s="62">
        <v>4203</v>
      </c>
      <c r="K11" s="56">
        <v>4208</v>
      </c>
      <c r="M11" s="127"/>
      <c r="N11" s="130"/>
      <c r="O11" s="124"/>
    </row>
    <row r="12" spans="1:15" x14ac:dyDescent="0.2">
      <c r="A12" s="19" t="s">
        <v>44</v>
      </c>
      <c r="B12" s="62">
        <v>1598</v>
      </c>
      <c r="C12" s="56">
        <v>1906</v>
      </c>
      <c r="D12" s="62">
        <v>1782</v>
      </c>
      <c r="E12" s="56">
        <v>1189</v>
      </c>
      <c r="F12" s="62">
        <v>1098</v>
      </c>
      <c r="G12" s="56">
        <v>1469</v>
      </c>
      <c r="H12" s="62">
        <v>1272</v>
      </c>
      <c r="I12" s="56">
        <v>1368</v>
      </c>
      <c r="J12" s="62">
        <v>1285</v>
      </c>
      <c r="K12" s="56">
        <v>2798</v>
      </c>
    </row>
    <row r="13" spans="1:15" x14ac:dyDescent="0.2">
      <c r="A13" s="21" t="s">
        <v>45</v>
      </c>
      <c r="B13" s="63">
        <v>91990</v>
      </c>
      <c r="C13" s="57">
        <v>96609</v>
      </c>
      <c r="D13" s="63">
        <v>97631</v>
      </c>
      <c r="E13" s="57">
        <v>59154</v>
      </c>
      <c r="F13" s="63">
        <v>44893</v>
      </c>
      <c r="G13" s="57">
        <v>50052</v>
      </c>
      <c r="H13" s="63">
        <v>47973</v>
      </c>
      <c r="I13" s="57">
        <v>47134</v>
      </c>
      <c r="J13" s="63">
        <v>41416</v>
      </c>
      <c r="K13" s="57">
        <v>42623</v>
      </c>
      <c r="M13" s="127"/>
      <c r="N13" s="130"/>
      <c r="O13" s="124"/>
    </row>
    <row r="14" spans="1:15" x14ac:dyDescent="0.2">
      <c r="A14" s="19" t="s">
        <v>46</v>
      </c>
      <c r="B14" s="62">
        <v>47200</v>
      </c>
      <c r="C14" s="56">
        <v>47630</v>
      </c>
      <c r="D14" s="62">
        <v>49793</v>
      </c>
      <c r="E14" s="56">
        <v>45195</v>
      </c>
      <c r="F14" s="62">
        <v>43515</v>
      </c>
      <c r="G14" s="56">
        <v>43164</v>
      </c>
      <c r="H14" s="62">
        <v>40790</v>
      </c>
      <c r="I14" s="56">
        <v>39160</v>
      </c>
      <c r="J14" s="62">
        <v>35102</v>
      </c>
      <c r="K14" s="56">
        <v>34245</v>
      </c>
      <c r="M14" s="124"/>
      <c r="N14" s="90"/>
    </row>
    <row r="15" spans="1:15" x14ac:dyDescent="0.2">
      <c r="A15" s="19" t="s">
        <v>47</v>
      </c>
      <c r="B15" s="62">
        <v>294318</v>
      </c>
      <c r="C15" s="56">
        <v>214940</v>
      </c>
      <c r="D15" s="62">
        <v>204692</v>
      </c>
      <c r="E15" s="56">
        <v>216552</v>
      </c>
      <c r="F15" s="62">
        <v>227553</v>
      </c>
      <c r="G15" s="56">
        <v>253018</v>
      </c>
      <c r="H15" s="62">
        <v>247101</v>
      </c>
      <c r="I15" s="56">
        <v>252630</v>
      </c>
      <c r="J15" s="62">
        <v>244224</v>
      </c>
      <c r="K15" s="56">
        <v>251605</v>
      </c>
      <c r="M15" s="124"/>
      <c r="N15" s="90"/>
    </row>
    <row r="16" spans="1:15" x14ac:dyDescent="0.2">
      <c r="A16" s="19" t="s">
        <v>48</v>
      </c>
      <c r="B16" s="62">
        <v>19967</v>
      </c>
      <c r="C16" s="56">
        <v>17138</v>
      </c>
      <c r="D16" s="62">
        <v>16951</v>
      </c>
      <c r="E16" s="56">
        <v>18022</v>
      </c>
      <c r="F16" s="62">
        <v>16789</v>
      </c>
      <c r="G16" s="56">
        <v>16363</v>
      </c>
      <c r="H16" s="62">
        <v>10332</v>
      </c>
      <c r="I16" s="56">
        <v>9767</v>
      </c>
      <c r="J16" s="62">
        <v>9572</v>
      </c>
      <c r="K16" s="56">
        <v>8285</v>
      </c>
    </row>
    <row r="17" spans="1:15" x14ac:dyDescent="0.2">
      <c r="A17" s="23" t="s">
        <v>49</v>
      </c>
      <c r="B17" s="64">
        <v>453475</v>
      </c>
      <c r="C17" s="58">
        <v>376317</v>
      </c>
      <c r="D17" s="64">
        <v>369067</v>
      </c>
      <c r="E17" s="58">
        <v>338923</v>
      </c>
      <c r="F17" s="64">
        <v>332750</v>
      </c>
      <c r="G17" s="58">
        <v>362597</v>
      </c>
      <c r="H17" s="64">
        <v>346196</v>
      </c>
      <c r="I17" s="58">
        <v>348691</v>
      </c>
      <c r="J17" s="64">
        <v>330314</v>
      </c>
      <c r="K17" s="58">
        <v>336758</v>
      </c>
    </row>
    <row r="18" spans="1:15" x14ac:dyDescent="0.2">
      <c r="A18" s="25" t="s">
        <v>50</v>
      </c>
      <c r="B18" s="62"/>
      <c r="C18" s="56"/>
      <c r="D18" s="62"/>
      <c r="E18" s="56"/>
      <c r="F18" s="62"/>
      <c r="G18" s="56"/>
      <c r="H18" s="62"/>
      <c r="I18" s="56"/>
      <c r="J18" s="62"/>
      <c r="K18" s="56"/>
      <c r="N18" s="1"/>
      <c r="O18" s="1"/>
    </row>
    <row r="19" spans="1:15" x14ac:dyDescent="0.2">
      <c r="A19" s="25" t="s">
        <v>51</v>
      </c>
      <c r="B19" s="62"/>
      <c r="C19" s="56"/>
      <c r="D19" s="62"/>
      <c r="E19" s="56"/>
      <c r="F19" s="62"/>
      <c r="G19" s="56"/>
      <c r="H19" s="62"/>
      <c r="I19" s="56"/>
      <c r="J19" s="62"/>
      <c r="K19" s="56"/>
      <c r="N19" s="1"/>
    </row>
    <row r="20" spans="1:15" x14ac:dyDescent="0.2">
      <c r="A20" s="19" t="s">
        <v>52</v>
      </c>
      <c r="B20" s="62">
        <v>4955</v>
      </c>
      <c r="C20" s="56">
        <v>4090</v>
      </c>
      <c r="D20" s="62">
        <v>634</v>
      </c>
      <c r="E20" s="56">
        <v>4276</v>
      </c>
      <c r="F20" s="62">
        <v>20458</v>
      </c>
      <c r="G20" s="56">
        <v>20578</v>
      </c>
      <c r="H20" s="62">
        <v>17258</v>
      </c>
      <c r="I20" s="56">
        <v>17930</v>
      </c>
      <c r="J20" s="62">
        <v>13830</v>
      </c>
      <c r="K20" s="56">
        <v>18762</v>
      </c>
    </row>
    <row r="21" spans="1:15" x14ac:dyDescent="0.2">
      <c r="A21" s="19" t="s">
        <v>53</v>
      </c>
      <c r="B21" s="62">
        <v>61297</v>
      </c>
      <c r="C21" s="56">
        <v>58037</v>
      </c>
      <c r="D21" s="62">
        <v>63197</v>
      </c>
      <c r="E21" s="56">
        <v>50766</v>
      </c>
      <c r="F21" s="62">
        <v>35221</v>
      </c>
      <c r="G21" s="56">
        <v>41831</v>
      </c>
      <c r="H21" s="62">
        <v>37268</v>
      </c>
      <c r="I21" s="56">
        <v>36796</v>
      </c>
      <c r="J21" s="62">
        <v>31193</v>
      </c>
      <c r="K21" s="56">
        <v>32412</v>
      </c>
    </row>
    <row r="22" spans="1:15" x14ac:dyDescent="0.2">
      <c r="A22" s="19" t="s">
        <v>54</v>
      </c>
      <c r="B22" s="62">
        <v>4055</v>
      </c>
      <c r="C22" s="56">
        <v>3189</v>
      </c>
      <c r="D22" s="62">
        <v>5214</v>
      </c>
      <c r="E22" s="56">
        <v>1601</v>
      </c>
      <c r="F22" s="62">
        <v>684</v>
      </c>
      <c r="G22" s="56">
        <v>1580</v>
      </c>
      <c r="H22" s="62">
        <v>2612</v>
      </c>
      <c r="I22" s="56">
        <v>3045</v>
      </c>
      <c r="J22" s="62">
        <v>2615</v>
      </c>
      <c r="K22" s="56">
        <v>2802</v>
      </c>
    </row>
    <row r="23" spans="1:15" x14ac:dyDescent="0.2">
      <c r="A23" s="21" t="s">
        <v>55</v>
      </c>
      <c r="B23" s="63">
        <v>70307</v>
      </c>
      <c r="C23" s="57">
        <v>65316</v>
      </c>
      <c r="D23" s="63">
        <v>69045</v>
      </c>
      <c r="E23" s="57">
        <v>56643</v>
      </c>
      <c r="F23" s="63">
        <v>56363</v>
      </c>
      <c r="G23" s="57">
        <v>63989</v>
      </c>
      <c r="H23" s="63">
        <v>57138</v>
      </c>
      <c r="I23" s="57">
        <v>57771</v>
      </c>
      <c r="J23" s="63">
        <v>47638</v>
      </c>
      <c r="K23" s="57">
        <v>53976</v>
      </c>
    </row>
    <row r="24" spans="1:15" x14ac:dyDescent="0.2">
      <c r="A24" s="19" t="s">
        <v>56</v>
      </c>
      <c r="B24" s="62">
        <v>36755</v>
      </c>
      <c r="C24" s="56">
        <v>37483</v>
      </c>
      <c r="D24" s="62">
        <v>40559</v>
      </c>
      <c r="E24" s="56">
        <v>43428</v>
      </c>
      <c r="F24" s="62">
        <v>47182</v>
      </c>
      <c r="G24" s="56">
        <v>26342</v>
      </c>
      <c r="H24" s="62">
        <v>20538</v>
      </c>
      <c r="I24" s="56">
        <v>24406</v>
      </c>
      <c r="J24" s="62">
        <v>28932</v>
      </c>
      <c r="K24" s="56">
        <v>19925</v>
      </c>
    </row>
    <row r="25" spans="1:15" x14ac:dyDescent="0.2">
      <c r="A25" s="19" t="s">
        <v>57</v>
      </c>
      <c r="B25" s="62">
        <v>9700</v>
      </c>
      <c r="C25" s="56">
        <v>10496</v>
      </c>
      <c r="D25" s="62">
        <v>10045</v>
      </c>
      <c r="E25" s="56">
        <v>18430</v>
      </c>
      <c r="F25" s="62">
        <v>22415</v>
      </c>
      <c r="G25" s="56">
        <v>22304</v>
      </c>
      <c r="H25" s="62">
        <v>20272</v>
      </c>
      <c r="I25" s="56">
        <v>21132</v>
      </c>
      <c r="J25" s="62">
        <v>20932</v>
      </c>
      <c r="K25" s="56">
        <v>22647</v>
      </c>
    </row>
    <row r="26" spans="1:15" x14ac:dyDescent="0.2">
      <c r="A26" s="19" t="s">
        <v>58</v>
      </c>
      <c r="B26" s="62">
        <v>39042</v>
      </c>
      <c r="C26" s="56">
        <v>24452</v>
      </c>
      <c r="D26" s="62">
        <v>22874</v>
      </c>
      <c r="E26" s="56">
        <v>20165</v>
      </c>
      <c r="F26" s="62">
        <v>18165</v>
      </c>
      <c r="G26" s="56">
        <v>25620</v>
      </c>
      <c r="H26" s="62">
        <v>27244</v>
      </c>
      <c r="I26" s="56">
        <v>26893</v>
      </c>
      <c r="J26" s="62">
        <v>34041</v>
      </c>
      <c r="K26" s="56">
        <v>36818</v>
      </c>
    </row>
    <row r="27" spans="1:15" x14ac:dyDescent="0.2">
      <c r="A27" t="s">
        <v>59</v>
      </c>
      <c r="B27" s="41">
        <v>1346</v>
      </c>
      <c r="C27" s="40">
        <v>1804</v>
      </c>
      <c r="D27" s="41">
        <v>2338</v>
      </c>
      <c r="E27" s="40">
        <v>2857</v>
      </c>
      <c r="F27" s="41">
        <v>3253</v>
      </c>
      <c r="G27" s="40">
        <v>3988</v>
      </c>
      <c r="H27" s="41">
        <v>4382</v>
      </c>
      <c r="I27" s="40">
        <v>4774</v>
      </c>
      <c r="J27" s="41">
        <v>5124</v>
      </c>
      <c r="K27" s="40">
        <v>5417</v>
      </c>
    </row>
    <row r="28" spans="1:15" x14ac:dyDescent="0.2">
      <c r="A28" t="s">
        <v>60</v>
      </c>
      <c r="B28" s="41">
        <v>25719</v>
      </c>
      <c r="C28" s="40">
        <v>24228</v>
      </c>
      <c r="D28" s="41">
        <v>21733</v>
      </c>
      <c r="E28" s="40">
        <v>21717</v>
      </c>
      <c r="F28" s="41">
        <v>21242</v>
      </c>
      <c r="G28" s="40">
        <v>21416</v>
      </c>
      <c r="H28" s="41">
        <v>18094</v>
      </c>
      <c r="I28" s="40">
        <v>19215</v>
      </c>
      <c r="J28" s="41">
        <v>20069</v>
      </c>
      <c r="K28" s="40">
        <v>21165</v>
      </c>
    </row>
    <row r="29" spans="1:15" x14ac:dyDescent="0.2">
      <c r="A29" s="131" t="s">
        <v>153</v>
      </c>
      <c r="B29" s="80">
        <f t="shared" ref="B29:K29" si="0">B20+B24</f>
        <v>41710</v>
      </c>
      <c r="C29" s="40">
        <f t="shared" si="0"/>
        <v>41573</v>
      </c>
      <c r="D29" s="80">
        <f t="shared" si="0"/>
        <v>41193</v>
      </c>
      <c r="E29" s="40">
        <f t="shared" si="0"/>
        <v>47704</v>
      </c>
      <c r="F29" s="80">
        <f t="shared" si="0"/>
        <v>67640</v>
      </c>
      <c r="G29" s="40">
        <f t="shared" si="0"/>
        <v>46920</v>
      </c>
      <c r="H29" s="80">
        <f t="shared" si="0"/>
        <v>37796</v>
      </c>
      <c r="I29" s="40">
        <f t="shared" si="0"/>
        <v>42336</v>
      </c>
      <c r="J29" s="80">
        <f t="shared" si="0"/>
        <v>42762</v>
      </c>
      <c r="K29" s="40">
        <f t="shared" si="0"/>
        <v>38687</v>
      </c>
    </row>
    <row r="30" spans="1:15" x14ac:dyDescent="0.2">
      <c r="A30" s="6" t="s">
        <v>61</v>
      </c>
      <c r="B30" s="49">
        <v>182869</v>
      </c>
      <c r="C30" s="48">
        <v>163779</v>
      </c>
      <c r="D30" s="49">
        <v>166594</v>
      </c>
      <c r="E30" s="48">
        <v>163240</v>
      </c>
      <c r="F30" s="49">
        <v>168620</v>
      </c>
      <c r="G30" s="48">
        <v>163659</v>
      </c>
      <c r="H30" s="49">
        <v>147668</v>
      </c>
      <c r="I30" s="48">
        <v>154191</v>
      </c>
      <c r="J30" s="49">
        <v>156484</v>
      </c>
      <c r="K30" s="48">
        <v>159948</v>
      </c>
    </row>
    <row r="31" spans="1:15" x14ac:dyDescent="0.2">
      <c r="A31" s="19" t="s">
        <v>67</v>
      </c>
      <c r="B31" s="62"/>
      <c r="C31" s="55"/>
      <c r="D31" s="62"/>
      <c r="E31" s="55"/>
      <c r="F31" s="62"/>
      <c r="G31" s="55"/>
      <c r="H31" s="62"/>
      <c r="I31" s="55"/>
      <c r="J31" s="62"/>
      <c r="K31" s="55"/>
    </row>
    <row r="32" spans="1:15" x14ac:dyDescent="0.2">
      <c r="A32" s="25" t="s">
        <v>68</v>
      </c>
      <c r="B32" s="62"/>
      <c r="C32" s="56"/>
      <c r="D32" s="62"/>
      <c r="E32" s="56"/>
      <c r="F32" s="62"/>
      <c r="G32" s="56"/>
      <c r="H32" s="62"/>
      <c r="I32" s="56"/>
      <c r="J32" s="62"/>
      <c r="K32" s="56"/>
    </row>
    <row r="33" spans="1:11" x14ac:dyDescent="0.2">
      <c r="A33" s="19" t="s">
        <v>69</v>
      </c>
      <c r="B33" s="62"/>
      <c r="C33" s="56"/>
      <c r="D33" s="62"/>
      <c r="E33" s="56"/>
      <c r="F33" s="62"/>
      <c r="G33" s="56"/>
      <c r="H33" s="62"/>
      <c r="I33" s="56"/>
      <c r="J33" s="62"/>
      <c r="K33" s="56"/>
    </row>
    <row r="34" spans="1:11" x14ac:dyDescent="0.2">
      <c r="A34" s="19" t="s">
        <v>70</v>
      </c>
      <c r="B34" s="62">
        <v>46238</v>
      </c>
      <c r="C34" s="56">
        <v>17781</v>
      </c>
      <c r="D34" s="62">
        <v>15752</v>
      </c>
      <c r="E34" s="56">
        <v>15746</v>
      </c>
      <c r="F34" s="62">
        <v>15688</v>
      </c>
      <c r="G34" s="56">
        <v>15637</v>
      </c>
      <c r="H34" s="62">
        <v>15258</v>
      </c>
      <c r="I34" s="56">
        <v>14656</v>
      </c>
      <c r="J34" s="62">
        <v>12157</v>
      </c>
      <c r="K34" s="56">
        <v>11612</v>
      </c>
    </row>
    <row r="35" spans="1:11" x14ac:dyDescent="0.2">
      <c r="A35" s="19" t="s">
        <v>71</v>
      </c>
      <c r="B35" s="62">
        <v>470903</v>
      </c>
      <c r="C35" s="56">
        <v>453927</v>
      </c>
      <c r="D35" s="62">
        <v>432860</v>
      </c>
      <c r="E35" s="56">
        <v>392059</v>
      </c>
      <c r="F35" s="62">
        <v>383943</v>
      </c>
      <c r="G35" s="56">
        <v>421341</v>
      </c>
      <c r="H35" s="62">
        <v>421653</v>
      </c>
      <c r="I35" s="56">
        <v>414540</v>
      </c>
      <c r="J35" s="62">
        <v>407831</v>
      </c>
      <c r="K35" s="56">
        <v>412444</v>
      </c>
    </row>
    <row r="36" spans="1:11" x14ac:dyDescent="0.2">
      <c r="A36" s="19" t="s">
        <v>72</v>
      </c>
      <c r="B36" s="62">
        <v>-14619</v>
      </c>
      <c r="C36" s="56">
        <v>-11989</v>
      </c>
      <c r="D36" s="62">
        <v>-13270</v>
      </c>
      <c r="E36" s="56">
        <v>-13764</v>
      </c>
      <c r="F36" s="62">
        <v>-16705</v>
      </c>
      <c r="G36" s="56">
        <v>-19493</v>
      </c>
      <c r="H36" s="62">
        <v>-19564</v>
      </c>
      <c r="I36" s="56">
        <v>-16262</v>
      </c>
      <c r="J36" s="62">
        <v>-22239</v>
      </c>
      <c r="K36" s="56">
        <v>-23517</v>
      </c>
    </row>
    <row r="37" spans="1:11" x14ac:dyDescent="0.2">
      <c r="A37" s="19" t="s">
        <v>73</v>
      </c>
      <c r="B37" s="62"/>
      <c r="C37" s="56"/>
      <c r="D37" s="62"/>
      <c r="E37" s="56"/>
      <c r="F37" s="62"/>
      <c r="G37" s="56"/>
      <c r="H37" s="62"/>
      <c r="I37" s="56"/>
      <c r="J37" s="62"/>
      <c r="K37" s="56"/>
    </row>
    <row r="38" spans="1:11" x14ac:dyDescent="0.2">
      <c r="A38" s="19" t="s">
        <v>74</v>
      </c>
      <c r="B38" s="62">
        <v>-238817</v>
      </c>
      <c r="C38" s="56">
        <v>-254917</v>
      </c>
      <c r="D38" s="62">
        <v>-240293</v>
      </c>
      <c r="E38" s="56">
        <v>-225464</v>
      </c>
      <c r="F38" s="62">
        <v>-225776</v>
      </c>
      <c r="G38" s="56">
        <v>-225835</v>
      </c>
      <c r="H38" s="62">
        <v>-225553</v>
      </c>
      <c r="I38" s="56">
        <v>-225246</v>
      </c>
      <c r="J38" s="62">
        <v>-230424</v>
      </c>
      <c r="K38" s="56">
        <v>-229734</v>
      </c>
    </row>
    <row r="39" spans="1:11" x14ac:dyDescent="0.2">
      <c r="A39" s="23" t="s">
        <v>75</v>
      </c>
      <c r="B39" s="64">
        <v>263705</v>
      </c>
      <c r="C39" s="58">
        <v>204802</v>
      </c>
      <c r="D39" s="64">
        <v>195049</v>
      </c>
      <c r="E39" s="58">
        <v>168577</v>
      </c>
      <c r="F39" s="64">
        <v>157150</v>
      </c>
      <c r="G39" s="58">
        <v>191650</v>
      </c>
      <c r="H39" s="64">
        <v>191794</v>
      </c>
      <c r="I39" s="58">
        <v>187688</v>
      </c>
      <c r="J39" s="64">
        <v>167325</v>
      </c>
      <c r="K39" s="58">
        <v>170817</v>
      </c>
    </row>
    <row r="40" spans="1:11" x14ac:dyDescent="0.2">
      <c r="A40" t="s">
        <v>76</v>
      </c>
      <c r="B40" s="62">
        <v>6901</v>
      </c>
      <c r="C40" s="40">
        <v>7736</v>
      </c>
      <c r="D40" s="62">
        <v>7424</v>
      </c>
      <c r="E40" s="40">
        <v>7106</v>
      </c>
      <c r="F40" s="62">
        <v>6980</v>
      </c>
      <c r="G40" s="40">
        <v>7288</v>
      </c>
      <c r="H40" s="62">
        <v>6734</v>
      </c>
      <c r="I40" s="40">
        <v>6812</v>
      </c>
      <c r="J40" s="62">
        <v>6505</v>
      </c>
      <c r="K40" s="40">
        <v>5999</v>
      </c>
    </row>
    <row r="41" spans="1:11" x14ac:dyDescent="0.2">
      <c r="A41" s="4" t="s">
        <v>77</v>
      </c>
      <c r="B41" s="65">
        <v>270606</v>
      </c>
      <c r="C41" s="46">
        <v>212538</v>
      </c>
      <c r="D41" s="65">
        <v>202473</v>
      </c>
      <c r="E41" s="46">
        <v>175683</v>
      </c>
      <c r="F41" s="65">
        <v>164130</v>
      </c>
      <c r="G41" s="46">
        <v>198938</v>
      </c>
      <c r="H41" s="65">
        <v>198528</v>
      </c>
      <c r="I41" s="46">
        <v>194500</v>
      </c>
      <c r="J41" s="65">
        <v>173830</v>
      </c>
      <c r="K41" s="46">
        <v>176810</v>
      </c>
    </row>
    <row r="42" spans="1:11" x14ac:dyDescent="0.2">
      <c r="A42" s="6" t="s">
        <v>78</v>
      </c>
      <c r="B42" s="64">
        <v>453475</v>
      </c>
      <c r="C42" s="48">
        <v>376317</v>
      </c>
      <c r="D42" s="64">
        <v>369067</v>
      </c>
      <c r="E42" s="48">
        <v>338923</v>
      </c>
      <c r="F42" s="64">
        <v>332750</v>
      </c>
      <c r="G42" s="48">
        <v>362597</v>
      </c>
      <c r="H42" s="64">
        <v>346196</v>
      </c>
      <c r="I42" s="48">
        <v>248691</v>
      </c>
      <c r="J42" s="64">
        <v>330314</v>
      </c>
      <c r="K42" s="48">
        <v>336758</v>
      </c>
    </row>
    <row r="43" spans="1:11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spans="1:11" x14ac:dyDescent="0.2">
      <c r="A44" s="19" t="s">
        <v>79</v>
      </c>
      <c r="B44" s="41">
        <v>3666</v>
      </c>
      <c r="C44" s="41">
        <v>4048</v>
      </c>
      <c r="D44" s="41">
        <v>3937</v>
      </c>
      <c r="E44" s="41">
        <v>3780</v>
      </c>
      <c r="F44" s="41">
        <v>3786</v>
      </c>
      <c r="G44" s="41">
        <v>3785</v>
      </c>
      <c r="H44" s="41">
        <v>3782</v>
      </c>
      <c r="I44" s="41">
        <v>3780</v>
      </c>
      <c r="J44" s="41">
        <v>3871</v>
      </c>
      <c r="K44" s="41">
        <v>3863</v>
      </c>
    </row>
    <row r="45" spans="1:11" x14ac:dyDescent="0.2">
      <c r="A45" s="19" t="s">
        <v>155</v>
      </c>
      <c r="B45" s="41">
        <f>8019-B44</f>
        <v>4353</v>
      </c>
      <c r="C45" s="41"/>
      <c r="D45" s="41"/>
      <c r="E45" s="41"/>
      <c r="F45" s="41"/>
      <c r="G45" s="41"/>
      <c r="H45" s="41"/>
      <c r="I45" s="41"/>
      <c r="J45" s="41"/>
      <c r="K45" s="41"/>
    </row>
    <row r="46" spans="1:11" x14ac:dyDescent="0.2">
      <c r="A46" t="s">
        <v>156</v>
      </c>
      <c r="B46" s="139">
        <v>150.68</v>
      </c>
    </row>
    <row r="47" spans="1:11" x14ac:dyDescent="0.2">
      <c r="A47" s="131" t="s">
        <v>157</v>
      </c>
      <c r="B47" s="140">
        <f>B45*B46</f>
        <v>655910.04</v>
      </c>
      <c r="C47" s="81"/>
      <c r="D47" s="81"/>
      <c r="E47" s="81"/>
      <c r="F47" s="81"/>
      <c r="G47" s="81"/>
      <c r="H47" s="81"/>
      <c r="I47" s="81"/>
      <c r="J47" s="81"/>
      <c r="K47" s="81"/>
    </row>
    <row r="48" spans="1:11" x14ac:dyDescent="0.2">
      <c r="A48" s="71"/>
      <c r="B48" s="80"/>
      <c r="C48" s="80"/>
      <c r="D48" s="80"/>
      <c r="E48" s="80"/>
      <c r="F48" s="80"/>
      <c r="G48" s="80"/>
      <c r="H48" s="80"/>
      <c r="I48" s="80"/>
      <c r="J48" s="80"/>
      <c r="K48" s="80"/>
    </row>
    <row r="49" spans="1:11" x14ac:dyDescent="0.2">
      <c r="A49" s="61"/>
      <c r="B49" s="67"/>
      <c r="C49" s="67"/>
      <c r="D49" s="67"/>
      <c r="E49" s="67"/>
      <c r="F49" s="67"/>
      <c r="G49" s="67"/>
      <c r="H49" s="67"/>
      <c r="I49" s="67"/>
      <c r="J49" s="67"/>
      <c r="K49" s="67"/>
    </row>
    <row r="50" spans="1:11" x14ac:dyDescent="0.2">
      <c r="A50" s="77"/>
      <c r="B50" s="82"/>
      <c r="C50" s="82"/>
      <c r="D50" s="82"/>
      <c r="E50" s="82"/>
      <c r="F50" s="82"/>
      <c r="G50" s="82"/>
      <c r="H50" s="82"/>
      <c r="I50" s="82"/>
      <c r="J50" s="82"/>
      <c r="K50" s="82"/>
    </row>
    <row r="51" spans="1:11" x14ac:dyDescent="0.2">
      <c r="A51" s="88"/>
      <c r="B51" s="83"/>
      <c r="C51" s="79"/>
      <c r="D51" s="79"/>
      <c r="E51" s="79"/>
      <c r="F51" s="79"/>
      <c r="G51" s="79"/>
      <c r="H51" s="79"/>
      <c r="I51" s="79"/>
      <c r="J51" s="79"/>
      <c r="K51" s="79"/>
    </row>
    <row r="52" spans="1:11" x14ac:dyDescent="0.2">
      <c r="A52" s="71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2">
      <c r="A53" s="84"/>
      <c r="B53" s="85"/>
      <c r="C53" s="85"/>
      <c r="D53" s="85"/>
      <c r="E53" s="85"/>
      <c r="F53" s="85"/>
      <c r="G53" s="85"/>
      <c r="H53" s="85"/>
      <c r="I53" s="85"/>
      <c r="J53" s="85"/>
      <c r="K53" s="85"/>
    </row>
    <row r="54" spans="1:11" x14ac:dyDescent="0.2">
      <c r="A54" s="77"/>
      <c r="B54" s="78"/>
      <c r="C54" s="78"/>
      <c r="D54" s="78"/>
      <c r="E54" s="78"/>
      <c r="F54" s="78"/>
      <c r="G54" s="78"/>
      <c r="H54" s="78"/>
      <c r="I54" s="78"/>
      <c r="J54" s="78"/>
      <c r="K54" s="78"/>
    </row>
    <row r="55" spans="1:11" x14ac:dyDescent="0.2">
      <c r="A55" s="84"/>
      <c r="B55" s="91"/>
      <c r="C55" s="91"/>
      <c r="D55" s="91"/>
      <c r="E55" s="91"/>
      <c r="F55" s="91"/>
      <c r="G55" s="91"/>
      <c r="H55" s="91"/>
      <c r="I55" s="91"/>
      <c r="J55" s="91"/>
      <c r="K55" s="91"/>
    </row>
    <row r="56" spans="1:11" x14ac:dyDescent="0.2">
      <c r="B56" s="8"/>
      <c r="C56" s="8"/>
      <c r="D56" s="8"/>
      <c r="E56" s="8"/>
      <c r="F56" s="8"/>
      <c r="G56" s="8"/>
      <c r="H56" s="8"/>
      <c r="I56" s="8"/>
      <c r="J56" s="8"/>
      <c r="K56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C74E-D150-4E09-BB3B-4E61CD04D073}">
  <dimension ref="A1:K57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82.33203125" bestFit="1" customWidth="1"/>
    <col min="2" max="11" width="9" bestFit="1" customWidth="1"/>
  </cols>
  <sheetData>
    <row r="1" spans="1:11" ht="16" x14ac:dyDescent="0.2">
      <c r="A1" s="15" t="s">
        <v>80</v>
      </c>
    </row>
    <row r="2" spans="1:11" x14ac:dyDescent="0.2">
      <c r="A2" s="12"/>
      <c r="B2" s="12"/>
      <c r="C2" s="13"/>
      <c r="D2" s="12"/>
      <c r="E2" s="13"/>
      <c r="F2" s="12"/>
      <c r="G2" s="13"/>
      <c r="H2" s="12"/>
      <c r="I2" s="13"/>
      <c r="J2" s="12"/>
      <c r="K2" s="13"/>
    </row>
    <row r="3" spans="1:11" x14ac:dyDescent="0.2">
      <c r="A3" s="14" t="s">
        <v>6</v>
      </c>
      <c r="B3" s="13">
        <v>2024</v>
      </c>
      <c r="C3" s="13">
        <v>2023</v>
      </c>
      <c r="D3" s="13">
        <v>2022</v>
      </c>
      <c r="E3" s="13">
        <v>2021</v>
      </c>
      <c r="F3" s="13">
        <v>2020</v>
      </c>
      <c r="G3" s="13">
        <v>2019</v>
      </c>
      <c r="H3" s="13">
        <v>2018</v>
      </c>
      <c r="I3" s="13">
        <v>2017</v>
      </c>
      <c r="J3" s="13">
        <v>2016</v>
      </c>
      <c r="K3" s="13">
        <v>2015</v>
      </c>
    </row>
    <row r="4" spans="1:11" x14ac:dyDescent="0.2">
      <c r="A4" s="72" t="s">
        <v>81</v>
      </c>
      <c r="B4" s="71"/>
      <c r="C4" s="70"/>
      <c r="D4" s="71"/>
      <c r="E4" s="70"/>
      <c r="F4" s="71"/>
      <c r="G4" s="70"/>
      <c r="H4" s="71"/>
      <c r="I4" s="70"/>
      <c r="J4" s="71"/>
      <c r="K4" s="70"/>
    </row>
    <row r="5" spans="1:11" x14ac:dyDescent="0.2">
      <c r="A5" s="19" t="s">
        <v>27</v>
      </c>
      <c r="B5" s="62">
        <v>35063</v>
      </c>
      <c r="C5" s="56">
        <v>37354</v>
      </c>
      <c r="D5" s="62">
        <v>57577</v>
      </c>
      <c r="E5" s="56">
        <v>23598</v>
      </c>
      <c r="F5" s="62">
        <v>-23251</v>
      </c>
      <c r="G5" s="56">
        <v>14774</v>
      </c>
      <c r="H5" s="62">
        <v>21421</v>
      </c>
      <c r="I5" s="56">
        <v>19848</v>
      </c>
      <c r="J5" s="62">
        <v>8375</v>
      </c>
      <c r="K5" s="56">
        <v>16551</v>
      </c>
    </row>
    <row r="6" spans="1:11" x14ac:dyDescent="0.2">
      <c r="A6" t="s">
        <v>82</v>
      </c>
      <c r="B6" s="62"/>
      <c r="C6" s="56"/>
      <c r="D6" s="62"/>
      <c r="E6" s="56"/>
      <c r="G6" s="56"/>
      <c r="H6" s="62"/>
      <c r="I6" s="56"/>
      <c r="J6" s="62"/>
      <c r="K6" s="56"/>
    </row>
    <row r="7" spans="1:11" x14ac:dyDescent="0.2">
      <c r="A7" s="19" t="s">
        <v>19</v>
      </c>
      <c r="B7" s="62">
        <v>23422</v>
      </c>
      <c r="C7" s="56">
        <v>20641</v>
      </c>
      <c r="D7" s="62">
        <v>24040</v>
      </c>
      <c r="E7" s="56">
        <v>20607</v>
      </c>
      <c r="F7" s="62">
        <v>46009</v>
      </c>
      <c r="G7" s="56">
        <v>18998</v>
      </c>
      <c r="H7" s="62">
        <v>18745</v>
      </c>
      <c r="I7" s="56">
        <v>19893</v>
      </c>
      <c r="J7" s="62">
        <v>22308</v>
      </c>
      <c r="K7" s="56">
        <v>18048</v>
      </c>
    </row>
    <row r="8" spans="1:11" x14ac:dyDescent="0.2">
      <c r="A8" t="s">
        <v>83</v>
      </c>
      <c r="B8" s="62">
        <v>-865</v>
      </c>
      <c r="C8" s="56">
        <v>634</v>
      </c>
      <c r="D8" s="62">
        <v>3758</v>
      </c>
      <c r="E8" s="56">
        <v>303</v>
      </c>
      <c r="F8" s="62">
        <v>-8856</v>
      </c>
      <c r="G8" s="56">
        <v>-944</v>
      </c>
      <c r="H8" s="62">
        <v>-60</v>
      </c>
      <c r="I8" s="56">
        <v>-8577</v>
      </c>
      <c r="J8" s="62">
        <v>-4386</v>
      </c>
      <c r="K8" s="56">
        <v>-1832</v>
      </c>
    </row>
    <row r="9" spans="1:11" x14ac:dyDescent="0.2">
      <c r="A9" t="s">
        <v>84</v>
      </c>
      <c r="B9" s="62">
        <v>-358</v>
      </c>
      <c r="C9" s="56">
        <v>90</v>
      </c>
      <c r="D9" s="62">
        <v>-2981</v>
      </c>
      <c r="E9" s="56">
        <v>754</v>
      </c>
      <c r="F9" s="20">
        <v>498</v>
      </c>
      <c r="G9" s="56">
        <v>109</v>
      </c>
      <c r="H9" s="62">
        <v>1070</v>
      </c>
      <c r="I9" s="56">
        <v>1135</v>
      </c>
      <c r="J9" s="62">
        <v>-329</v>
      </c>
      <c r="K9" s="56">
        <v>2153</v>
      </c>
    </row>
    <row r="10" spans="1:11" x14ac:dyDescent="0.2">
      <c r="A10" t="s">
        <v>85</v>
      </c>
      <c r="B10" s="62">
        <v>-1712</v>
      </c>
      <c r="C10" s="56">
        <v>-1501</v>
      </c>
      <c r="D10" s="62">
        <v>-1932</v>
      </c>
      <c r="E10" s="56">
        <v>50</v>
      </c>
      <c r="F10" s="62">
        <v>-1269</v>
      </c>
      <c r="G10" s="56">
        <v>-3038</v>
      </c>
      <c r="H10" s="62">
        <v>-68</v>
      </c>
      <c r="I10" s="56">
        <v>-610</v>
      </c>
      <c r="J10" s="62">
        <v>-19</v>
      </c>
      <c r="K10" s="56">
        <v>-380</v>
      </c>
    </row>
    <row r="11" spans="1:11" x14ac:dyDescent="0.2">
      <c r="A11" t="s">
        <v>86</v>
      </c>
      <c r="B11" s="62">
        <v>191</v>
      </c>
      <c r="C11" s="56">
        <v>509</v>
      </c>
      <c r="D11" s="62">
        <v>-2446</v>
      </c>
      <c r="E11" s="56">
        <v>-668</v>
      </c>
      <c r="F11" s="62">
        <v>979</v>
      </c>
      <c r="G11" s="56">
        <v>-936</v>
      </c>
      <c r="H11" s="62">
        <v>-1684</v>
      </c>
      <c r="I11" s="56">
        <v>131</v>
      </c>
      <c r="J11" s="62">
        <v>-579</v>
      </c>
      <c r="K11" s="56">
        <v>-691</v>
      </c>
    </row>
    <row r="12" spans="1:11" x14ac:dyDescent="0.2">
      <c r="A12" t="s">
        <v>87</v>
      </c>
      <c r="B12" s="62"/>
      <c r="C12" s="56"/>
      <c r="D12" s="62"/>
      <c r="E12" s="56"/>
      <c r="F12" s="62"/>
      <c r="G12" s="56"/>
      <c r="H12" s="62"/>
      <c r="I12" s="56"/>
      <c r="J12" s="62"/>
      <c r="K12" s="56"/>
    </row>
    <row r="13" spans="1:11" x14ac:dyDescent="0.2">
      <c r="A13" t="s">
        <v>88</v>
      </c>
      <c r="B13" s="62">
        <v>-6030</v>
      </c>
      <c r="C13" s="56">
        <v>4370</v>
      </c>
      <c r="D13" s="62">
        <v>-11019</v>
      </c>
      <c r="E13" s="56">
        <v>-12098</v>
      </c>
      <c r="F13" s="62">
        <v>5384</v>
      </c>
      <c r="G13" s="56">
        <v>-2640</v>
      </c>
      <c r="H13" s="62">
        <v>-545</v>
      </c>
      <c r="I13" s="56">
        <v>-3954</v>
      </c>
      <c r="J13" s="62">
        <v>-2090</v>
      </c>
      <c r="K13" s="56">
        <v>4692</v>
      </c>
    </row>
    <row r="14" spans="1:11" x14ac:dyDescent="0.2">
      <c r="A14" t="s">
        <v>89</v>
      </c>
      <c r="B14" s="62">
        <v>-1812</v>
      </c>
      <c r="C14" s="56">
        <v>-3472</v>
      </c>
      <c r="D14" s="62">
        <v>-6947</v>
      </c>
      <c r="E14" s="56">
        <v>-489</v>
      </c>
      <c r="F14" s="62">
        <v>-315</v>
      </c>
      <c r="G14" s="56">
        <v>72</v>
      </c>
      <c r="H14" s="62">
        <v>-3107</v>
      </c>
      <c r="I14" s="56">
        <v>-1682</v>
      </c>
      <c r="J14" s="62">
        <v>-388</v>
      </c>
      <c r="K14" s="56">
        <v>-379</v>
      </c>
    </row>
    <row r="15" spans="1:11" x14ac:dyDescent="0.2">
      <c r="A15" t="s">
        <v>90</v>
      </c>
      <c r="B15" s="62">
        <v>389</v>
      </c>
      <c r="C15" s="56">
        <v>-426</v>
      </c>
      <c r="D15" s="62">
        <v>-688</v>
      </c>
      <c r="E15" s="56">
        <v>-71</v>
      </c>
      <c r="F15" s="62">
        <v>420</v>
      </c>
      <c r="G15" s="56">
        <v>-234</v>
      </c>
      <c r="H15" s="62">
        <v>-25</v>
      </c>
      <c r="I15" s="56">
        <v>-117</v>
      </c>
      <c r="J15" s="62">
        <v>171</v>
      </c>
      <c r="K15" s="56">
        <v>45</v>
      </c>
    </row>
    <row r="16" spans="1:11" x14ac:dyDescent="0.2">
      <c r="A16" t="s">
        <v>91</v>
      </c>
      <c r="B16" s="62">
        <v>5627</v>
      </c>
      <c r="C16" s="56">
        <v>-4727</v>
      </c>
      <c r="D16" s="62">
        <v>18460</v>
      </c>
      <c r="E16" s="56">
        <v>16820</v>
      </c>
      <c r="F16" s="62">
        <v>-7142</v>
      </c>
      <c r="G16" s="56">
        <v>3725</v>
      </c>
      <c r="H16" s="62">
        <v>2321</v>
      </c>
      <c r="I16" s="56">
        <v>5104</v>
      </c>
      <c r="J16" s="62">
        <v>915</v>
      </c>
      <c r="K16" s="56">
        <v>-7471</v>
      </c>
    </row>
    <row r="17" spans="1:11" x14ac:dyDescent="0.2">
      <c r="A17" t="s">
        <v>92</v>
      </c>
      <c r="B17" s="62">
        <v>-1223</v>
      </c>
      <c r="C17" s="56">
        <v>-513</v>
      </c>
      <c r="D17" s="62">
        <v>-1034</v>
      </c>
      <c r="E17" s="56">
        <v>-1207</v>
      </c>
      <c r="F17" s="62">
        <v>4</v>
      </c>
      <c r="G17" s="56">
        <v>-1710</v>
      </c>
      <c r="H17" s="62">
        <v>-1993</v>
      </c>
      <c r="I17" s="56">
        <v>-334</v>
      </c>
      <c r="J17" s="62">
        <v>-1682</v>
      </c>
      <c r="K17" s="56">
        <v>-226</v>
      </c>
    </row>
    <row r="18" spans="1:11" x14ac:dyDescent="0.2">
      <c r="A18" t="s">
        <v>93</v>
      </c>
      <c r="B18" s="62">
        <v>2310</v>
      </c>
      <c r="C18" s="56">
        <v>2410</v>
      </c>
      <c r="D18" s="62">
        <v>9</v>
      </c>
      <c r="E18" s="56">
        <v>530</v>
      </c>
      <c r="F18" s="62">
        <v>2207</v>
      </c>
      <c r="G18" s="56">
        <v>1540</v>
      </c>
      <c r="H18" s="62">
        <v>-61</v>
      </c>
      <c r="I18" s="56">
        <v>-771</v>
      </c>
      <c r="J18" s="62">
        <v>-214</v>
      </c>
      <c r="K18" s="56">
        <v>-166</v>
      </c>
    </row>
    <row r="19" spans="1:11" x14ac:dyDescent="0.2">
      <c r="A19" s="6" t="s">
        <v>94</v>
      </c>
      <c r="B19" s="64">
        <v>55022</v>
      </c>
      <c r="C19" s="58">
        <v>55369</v>
      </c>
      <c r="D19" s="64">
        <v>76797</v>
      </c>
      <c r="E19" s="58">
        <v>48129</v>
      </c>
      <c r="F19" s="64">
        <v>14668</v>
      </c>
      <c r="G19" s="58">
        <v>29716</v>
      </c>
      <c r="H19" s="64">
        <v>36014</v>
      </c>
      <c r="I19" s="58">
        <v>30066</v>
      </c>
      <c r="J19" s="64">
        <v>22082</v>
      </c>
      <c r="K19" s="58">
        <v>30344</v>
      </c>
    </row>
    <row r="20" spans="1:11" x14ac:dyDescent="0.2">
      <c r="A20" s="25" t="s">
        <v>95</v>
      </c>
      <c r="B20" s="62"/>
      <c r="C20" s="56"/>
      <c r="D20" s="62"/>
      <c r="E20" s="56"/>
      <c r="F20" s="62"/>
      <c r="G20" s="56"/>
      <c r="H20" s="62"/>
      <c r="I20" s="56"/>
      <c r="J20" s="62"/>
      <c r="K20" s="56"/>
    </row>
    <row r="21" spans="1:11" x14ac:dyDescent="0.2">
      <c r="A21" t="s">
        <v>96</v>
      </c>
      <c r="B21" s="62">
        <v>-24306</v>
      </c>
      <c r="C21" s="56">
        <v>-21919</v>
      </c>
      <c r="D21" s="62">
        <v>-18407</v>
      </c>
      <c r="E21" s="56">
        <v>-12076</v>
      </c>
      <c r="F21" s="62">
        <v>-17282</v>
      </c>
      <c r="G21" s="56">
        <v>-24361</v>
      </c>
      <c r="H21" s="62">
        <v>-19574</v>
      </c>
      <c r="I21" s="56">
        <v>-15402</v>
      </c>
      <c r="J21" s="62">
        <v>-16163</v>
      </c>
      <c r="K21" s="56">
        <v>-26490</v>
      </c>
    </row>
    <row r="22" spans="1:11" x14ac:dyDescent="0.2">
      <c r="A22" t="s">
        <v>97</v>
      </c>
      <c r="B22" s="62">
        <v>4987</v>
      </c>
      <c r="C22" s="56">
        <v>4078</v>
      </c>
      <c r="D22" s="62">
        <v>5247</v>
      </c>
      <c r="E22" s="56">
        <v>3176</v>
      </c>
      <c r="F22" s="62">
        <v>999</v>
      </c>
      <c r="G22" s="56">
        <v>3692</v>
      </c>
      <c r="H22" s="62">
        <v>4123</v>
      </c>
      <c r="I22" s="56">
        <v>3103</v>
      </c>
      <c r="J22" s="62">
        <v>4275</v>
      </c>
      <c r="K22" s="56">
        <v>2389</v>
      </c>
    </row>
    <row r="23" spans="1:11" x14ac:dyDescent="0.2">
      <c r="A23" t="s">
        <v>98</v>
      </c>
      <c r="B23" s="62">
        <v>0</v>
      </c>
      <c r="C23" s="56">
        <v>0</v>
      </c>
      <c r="D23" s="62">
        <v>0</v>
      </c>
      <c r="E23" s="56">
        <v>0</v>
      </c>
      <c r="F23" s="62">
        <v>0</v>
      </c>
      <c r="G23" s="56">
        <v>0</v>
      </c>
      <c r="H23" s="62">
        <v>0</v>
      </c>
      <c r="I23" s="56">
        <v>0</v>
      </c>
      <c r="J23" s="62">
        <v>0</v>
      </c>
      <c r="K23" s="56">
        <v>42</v>
      </c>
    </row>
    <row r="24" spans="1:11" x14ac:dyDescent="0.2">
      <c r="A24" t="s">
        <v>99</v>
      </c>
      <c r="B24" s="62">
        <v>-3299</v>
      </c>
      <c r="C24" s="56">
        <v>-2995</v>
      </c>
      <c r="D24" s="62">
        <v>-3090</v>
      </c>
      <c r="E24" s="56">
        <v>-2817</v>
      </c>
      <c r="F24" s="62">
        <v>-4857</v>
      </c>
      <c r="G24" s="56">
        <v>-3905</v>
      </c>
      <c r="H24" s="62">
        <v>-1981</v>
      </c>
      <c r="I24" s="56">
        <v>-5507</v>
      </c>
      <c r="J24" s="62">
        <v>-1417</v>
      </c>
      <c r="K24" s="56">
        <v>-607</v>
      </c>
    </row>
    <row r="25" spans="1:11" x14ac:dyDescent="0.2">
      <c r="A25" t="s">
        <v>100</v>
      </c>
      <c r="B25" s="62">
        <v>1926</v>
      </c>
      <c r="C25" s="56">
        <v>1562</v>
      </c>
      <c r="D25" s="62">
        <v>1508</v>
      </c>
      <c r="E25" s="56">
        <v>1482</v>
      </c>
      <c r="F25" s="62">
        <v>2681</v>
      </c>
      <c r="G25" s="56">
        <v>1490</v>
      </c>
      <c r="H25" s="62">
        <v>986</v>
      </c>
      <c r="I25" s="56">
        <v>2076</v>
      </c>
      <c r="J25" s="62">
        <v>902</v>
      </c>
      <c r="K25" s="56">
        <v>842</v>
      </c>
    </row>
    <row r="26" spans="1:11" x14ac:dyDescent="0.2">
      <c r="A26" t="s">
        <v>101</v>
      </c>
      <c r="B26" s="62">
        <v>754</v>
      </c>
      <c r="C26" s="56">
        <v>0</v>
      </c>
      <c r="D26" s="62">
        <v>0</v>
      </c>
      <c r="E26" s="56">
        <v>0</v>
      </c>
      <c r="F26" s="62">
        <v>0</v>
      </c>
      <c r="G26" s="56">
        <v>0</v>
      </c>
      <c r="H26" s="62">
        <v>0</v>
      </c>
      <c r="I26" s="56">
        <v>0</v>
      </c>
      <c r="J26" s="62">
        <v>0</v>
      </c>
      <c r="K26" s="56">
        <v>0</v>
      </c>
    </row>
    <row r="27" spans="1:11" x14ac:dyDescent="0.2">
      <c r="A27" s="6" t="s">
        <v>102</v>
      </c>
      <c r="B27" s="64">
        <v>-19938</v>
      </c>
      <c r="C27" s="58">
        <v>-19274</v>
      </c>
      <c r="D27" s="64">
        <v>-14742</v>
      </c>
      <c r="E27" s="58">
        <v>-10235</v>
      </c>
      <c r="F27" s="64">
        <v>-18459</v>
      </c>
      <c r="G27" s="58">
        <v>-23084</v>
      </c>
      <c r="H27" s="64">
        <v>-16446</v>
      </c>
      <c r="I27" s="58">
        <v>-15730</v>
      </c>
      <c r="J27" s="64">
        <v>-12403</v>
      </c>
      <c r="K27" s="58">
        <v>-23824</v>
      </c>
    </row>
    <row r="28" spans="1:11" x14ac:dyDescent="0.2">
      <c r="A28" s="25" t="s">
        <v>103</v>
      </c>
      <c r="B28" s="62"/>
      <c r="C28" s="56"/>
      <c r="D28" s="62"/>
      <c r="E28" s="56"/>
      <c r="F28" s="62"/>
      <c r="G28" s="56"/>
      <c r="H28" s="62"/>
      <c r="I28" s="56"/>
      <c r="J28" s="62"/>
      <c r="K28" s="56"/>
    </row>
    <row r="29" spans="1:11" x14ac:dyDescent="0.2">
      <c r="A29" t="s">
        <v>104</v>
      </c>
      <c r="B29" s="62">
        <v>899</v>
      </c>
      <c r="C29" s="56">
        <v>939</v>
      </c>
      <c r="D29" s="62">
        <v>637</v>
      </c>
      <c r="E29" s="56">
        <v>46</v>
      </c>
      <c r="F29" s="62">
        <v>23186</v>
      </c>
      <c r="G29" s="56">
        <v>7052</v>
      </c>
      <c r="H29" s="62">
        <v>46</v>
      </c>
      <c r="I29" s="56">
        <v>60</v>
      </c>
      <c r="J29" s="62">
        <v>12066</v>
      </c>
      <c r="K29" s="56">
        <v>8028</v>
      </c>
    </row>
    <row r="30" spans="1:11" x14ac:dyDescent="0.2">
      <c r="A30" t="s">
        <v>105</v>
      </c>
      <c r="B30" s="62">
        <v>-1150</v>
      </c>
      <c r="C30" s="56">
        <v>-15</v>
      </c>
      <c r="D30" s="62">
        <v>-5</v>
      </c>
      <c r="E30" s="56">
        <v>-8</v>
      </c>
      <c r="F30" s="62">
        <v>-8</v>
      </c>
      <c r="G30" s="56">
        <v>-1</v>
      </c>
      <c r="H30" s="62">
        <v>0</v>
      </c>
      <c r="I30" s="56">
        <v>0</v>
      </c>
      <c r="J30" s="62">
        <v>0</v>
      </c>
      <c r="K30" s="56">
        <v>-26</v>
      </c>
    </row>
    <row r="31" spans="1:11" x14ac:dyDescent="0.2">
      <c r="A31" t="s">
        <v>106</v>
      </c>
      <c r="B31" s="62" t="s">
        <v>107</v>
      </c>
      <c r="C31" s="56" t="s">
        <v>107</v>
      </c>
      <c r="D31" s="62">
        <v>198</v>
      </c>
      <c r="E31" s="56">
        <v>12687</v>
      </c>
      <c r="F31" s="62">
        <v>35396</v>
      </c>
      <c r="G31" s="56">
        <v>18967</v>
      </c>
      <c r="H31">
        <v>0</v>
      </c>
      <c r="I31" s="56">
        <v>1735</v>
      </c>
      <c r="J31" s="62">
        <v>0</v>
      </c>
      <c r="K31" s="56">
        <v>0</v>
      </c>
    </row>
    <row r="32" spans="1:11" x14ac:dyDescent="0.2">
      <c r="A32" t="s">
        <v>108</v>
      </c>
      <c r="B32" s="62">
        <v>-4743</v>
      </c>
      <c r="C32" s="56">
        <v>-879</v>
      </c>
      <c r="D32" s="62">
        <v>-8075</v>
      </c>
      <c r="E32" s="56">
        <v>-29396</v>
      </c>
      <c r="F32" s="62">
        <v>-28742</v>
      </c>
      <c r="G32" s="56">
        <v>-18367</v>
      </c>
      <c r="H32" s="62">
        <v>-4752</v>
      </c>
      <c r="I32" s="56">
        <v>-5024</v>
      </c>
      <c r="J32" s="62">
        <v>-314</v>
      </c>
      <c r="K32" s="56">
        <v>-506</v>
      </c>
    </row>
    <row r="33" spans="1:11" x14ac:dyDescent="0.2">
      <c r="A33" t="s">
        <v>109</v>
      </c>
      <c r="B33" s="62">
        <v>-18</v>
      </c>
      <c r="C33" s="56">
        <v>-284</v>
      </c>
      <c r="D33" s="62">
        <v>25</v>
      </c>
      <c r="E33" s="56">
        <v>-2983</v>
      </c>
      <c r="F33" s="62">
        <v>-9691</v>
      </c>
      <c r="G33" s="56">
        <v>1011</v>
      </c>
      <c r="H33" s="62">
        <v>-219</v>
      </c>
      <c r="I33" s="56">
        <v>2181</v>
      </c>
      <c r="J33" s="62">
        <v>-7459</v>
      </c>
      <c r="K33" s="56">
        <v>1759</v>
      </c>
    </row>
    <row r="34" spans="1:11" x14ac:dyDescent="0.2">
      <c r="A34" t="s">
        <v>110</v>
      </c>
      <c r="B34" s="62">
        <v>-27</v>
      </c>
      <c r="C34" s="56">
        <v>-68</v>
      </c>
      <c r="D34" s="62">
        <v>-58</v>
      </c>
      <c r="E34" s="56">
        <v>-30</v>
      </c>
      <c r="F34" s="62">
        <v>-21</v>
      </c>
      <c r="G34" s="56" t="s">
        <v>107</v>
      </c>
      <c r="H34" s="62">
        <v>0</v>
      </c>
      <c r="I34" s="56">
        <v>0</v>
      </c>
      <c r="J34" s="62">
        <v>0</v>
      </c>
      <c r="K34" s="56">
        <v>0</v>
      </c>
    </row>
    <row r="35" spans="1:11" x14ac:dyDescent="0.2">
      <c r="A35" t="s">
        <v>111</v>
      </c>
      <c r="B35" s="62">
        <v>-16704</v>
      </c>
      <c r="C35" s="56">
        <v>-14941</v>
      </c>
      <c r="D35" s="62">
        <v>-14939</v>
      </c>
      <c r="E35" s="56">
        <v>-14924</v>
      </c>
      <c r="F35" s="62">
        <v>-14865</v>
      </c>
      <c r="G35" s="56">
        <v>-14652</v>
      </c>
      <c r="H35" s="62">
        <v>-13798</v>
      </c>
      <c r="I35" s="56">
        <v>-13001</v>
      </c>
      <c r="J35" s="62">
        <v>-12453</v>
      </c>
      <c r="K35" s="56">
        <v>-12090</v>
      </c>
    </row>
    <row r="36" spans="1:11" x14ac:dyDescent="0.2">
      <c r="A36" t="s">
        <v>112</v>
      </c>
      <c r="B36" s="62">
        <v>-658</v>
      </c>
      <c r="C36" s="56">
        <v>-531</v>
      </c>
      <c r="D36" s="62">
        <v>-267</v>
      </c>
      <c r="E36" s="56">
        <v>-224</v>
      </c>
      <c r="F36" s="62">
        <v>-188</v>
      </c>
      <c r="G36" s="56">
        <v>-192</v>
      </c>
      <c r="H36" s="62">
        <v>-243</v>
      </c>
      <c r="I36" s="56">
        <v>-184</v>
      </c>
      <c r="J36" s="62">
        <v>-162</v>
      </c>
      <c r="K36" s="56">
        <v>-170</v>
      </c>
    </row>
    <row r="37" spans="1:11" x14ac:dyDescent="0.2">
      <c r="A37" t="s">
        <v>113</v>
      </c>
      <c r="B37" s="62">
        <v>-791</v>
      </c>
      <c r="C37" s="56">
        <v>-894</v>
      </c>
      <c r="D37" s="62">
        <v>-1493</v>
      </c>
      <c r="E37" s="56">
        <v>-436</v>
      </c>
      <c r="F37" s="62">
        <v>623</v>
      </c>
      <c r="G37" s="56">
        <v>158</v>
      </c>
      <c r="H37" s="62">
        <v>146</v>
      </c>
      <c r="I37" s="56">
        <v>-150</v>
      </c>
      <c r="J37" s="62">
        <v>0</v>
      </c>
      <c r="K37" s="56">
        <v>2</v>
      </c>
    </row>
    <row r="38" spans="1:11" x14ac:dyDescent="0.2">
      <c r="A38" t="s">
        <v>114</v>
      </c>
      <c r="B38" s="62">
        <v>32</v>
      </c>
      <c r="C38" s="56">
        <v>124</v>
      </c>
      <c r="D38" s="62">
        <v>18</v>
      </c>
      <c r="E38" s="56" t="s">
        <v>107</v>
      </c>
      <c r="F38" s="62" t="s">
        <v>107</v>
      </c>
      <c r="G38" s="56" t="s">
        <v>107</v>
      </c>
      <c r="H38" s="62">
        <v>0</v>
      </c>
      <c r="I38" s="56">
        <v>0</v>
      </c>
      <c r="J38" s="62">
        <v>0</v>
      </c>
      <c r="K38" s="56">
        <v>0</v>
      </c>
    </row>
    <row r="39" spans="1:11" x14ac:dyDescent="0.2">
      <c r="A39" t="s">
        <v>115</v>
      </c>
      <c r="B39" s="62">
        <v>-19629</v>
      </c>
      <c r="C39" s="56">
        <v>-17748</v>
      </c>
      <c r="D39" s="62">
        <v>-15155</v>
      </c>
      <c r="E39" s="56">
        <v>-155</v>
      </c>
      <c r="F39" s="62">
        <v>-405</v>
      </c>
      <c r="G39" s="56">
        <v>-594</v>
      </c>
      <c r="H39" s="62">
        <v>-626</v>
      </c>
      <c r="I39" s="56">
        <v>-747</v>
      </c>
      <c r="J39" s="62">
        <v>-977</v>
      </c>
      <c r="K39" s="56">
        <v>4039</v>
      </c>
    </row>
    <row r="40" spans="1:11" x14ac:dyDescent="0.2">
      <c r="A40" t="s">
        <v>116</v>
      </c>
      <c r="B40" s="62">
        <v>0</v>
      </c>
      <c r="C40" s="56">
        <v>0</v>
      </c>
      <c r="D40" s="62">
        <v>0</v>
      </c>
      <c r="E40" s="56">
        <v>0</v>
      </c>
      <c r="F40" s="62">
        <v>0</v>
      </c>
      <c r="G40" s="56">
        <v>0</v>
      </c>
      <c r="H40" s="62">
        <v>0</v>
      </c>
      <c r="I40" s="56">
        <v>0</v>
      </c>
      <c r="J40" s="62">
        <v>6</v>
      </c>
      <c r="K40" s="56">
        <v>5</v>
      </c>
    </row>
    <row r="41" spans="1:11" x14ac:dyDescent="0.2">
      <c r="A41" s="4" t="s">
        <v>117</v>
      </c>
      <c r="B41" s="65">
        <v>-42789</v>
      </c>
      <c r="C41" s="59">
        <v>-34297</v>
      </c>
      <c r="D41" s="65">
        <v>-39114</v>
      </c>
      <c r="E41" s="59">
        <v>-35423</v>
      </c>
      <c r="F41" s="65">
        <v>5285</v>
      </c>
      <c r="G41" s="59">
        <v>-6618</v>
      </c>
      <c r="H41" s="65">
        <v>-19446</v>
      </c>
      <c r="I41" s="59">
        <v>-15130</v>
      </c>
      <c r="J41" s="65">
        <v>-9293</v>
      </c>
      <c r="K41" s="59">
        <v>-7037</v>
      </c>
    </row>
    <row r="42" spans="1:11" x14ac:dyDescent="0.2">
      <c r="A42" s="75" t="s">
        <v>118</v>
      </c>
      <c r="B42" s="74">
        <v>-676</v>
      </c>
      <c r="C42" s="73">
        <v>105</v>
      </c>
      <c r="D42" s="74">
        <v>-78</v>
      </c>
      <c r="E42" s="73">
        <v>-33</v>
      </c>
      <c r="F42" s="74">
        <v>-219</v>
      </c>
      <c r="G42" s="73">
        <v>33</v>
      </c>
      <c r="H42" s="74">
        <v>-257</v>
      </c>
      <c r="I42" s="73">
        <v>314</v>
      </c>
      <c r="J42" s="74">
        <v>-434</v>
      </c>
      <c r="K42" s="73">
        <v>-394</v>
      </c>
    </row>
    <row r="43" spans="1:11" x14ac:dyDescent="0.2">
      <c r="A43" s="8" t="s">
        <v>119</v>
      </c>
      <c r="B43" s="69">
        <v>-8381</v>
      </c>
      <c r="C43" s="68">
        <v>1903</v>
      </c>
      <c r="D43" s="69">
        <v>22863</v>
      </c>
      <c r="E43" s="68">
        <v>2438</v>
      </c>
      <c r="F43" s="69">
        <v>1275</v>
      </c>
      <c r="G43" s="68">
        <v>47</v>
      </c>
      <c r="H43" s="69">
        <v>-135</v>
      </c>
      <c r="I43" s="68">
        <v>-480</v>
      </c>
      <c r="J43" s="69">
        <v>-48</v>
      </c>
      <c r="K43" s="68">
        <v>-911</v>
      </c>
    </row>
    <row r="44" spans="1:11" x14ac:dyDescent="0.2">
      <c r="A44" t="s">
        <v>120</v>
      </c>
      <c r="B44" s="62">
        <v>31568</v>
      </c>
      <c r="C44" s="56">
        <v>29665</v>
      </c>
      <c r="D44" s="62">
        <v>6802</v>
      </c>
      <c r="E44" s="56">
        <v>4364</v>
      </c>
      <c r="F44" s="62">
        <v>3089</v>
      </c>
      <c r="G44" s="56">
        <v>3042</v>
      </c>
      <c r="H44" s="62">
        <v>3177</v>
      </c>
      <c r="I44" s="56">
        <v>3657</v>
      </c>
      <c r="J44" s="62">
        <v>3705</v>
      </c>
      <c r="K44" s="56">
        <v>4616</v>
      </c>
    </row>
    <row r="45" spans="1:11" x14ac:dyDescent="0.2">
      <c r="A45" s="6" t="s">
        <v>121</v>
      </c>
      <c r="B45" s="64">
        <v>23187</v>
      </c>
      <c r="C45" s="58">
        <v>31568</v>
      </c>
      <c r="D45" s="64">
        <v>29665</v>
      </c>
      <c r="E45" s="58">
        <v>6802</v>
      </c>
      <c r="F45" s="64">
        <v>4364</v>
      </c>
      <c r="G45" s="58">
        <v>3089</v>
      </c>
      <c r="H45" s="64">
        <v>3042</v>
      </c>
      <c r="I45" s="58">
        <v>3177</v>
      </c>
      <c r="J45" s="64">
        <v>3657</v>
      </c>
      <c r="K45" s="58">
        <v>3705</v>
      </c>
    </row>
    <row r="46" spans="1:1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8" spans="1:11" x14ac:dyDescent="0.2">
      <c r="A48" s="71"/>
      <c r="B48" s="80"/>
      <c r="C48" s="80"/>
      <c r="D48" s="80"/>
      <c r="E48" s="80"/>
      <c r="F48" s="80"/>
      <c r="G48" s="80"/>
      <c r="H48" s="80"/>
      <c r="I48" s="80"/>
      <c r="J48" s="80"/>
      <c r="K48" s="80"/>
    </row>
    <row r="49" spans="1:11" x14ac:dyDescent="0.2">
      <c r="A49" s="71"/>
      <c r="B49" s="81"/>
      <c r="C49" s="81"/>
      <c r="D49" s="81"/>
      <c r="E49" s="81"/>
      <c r="F49" s="81"/>
      <c r="G49" s="81"/>
      <c r="H49" s="81"/>
      <c r="I49" s="81"/>
      <c r="J49" s="81"/>
      <c r="K49" s="81"/>
    </row>
    <row r="50" spans="1:11" x14ac:dyDescent="0.2">
      <c r="A50" s="71"/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x14ac:dyDescent="0.2">
      <c r="A51" s="76"/>
      <c r="B51" s="79"/>
      <c r="C51" s="79"/>
      <c r="D51" s="79"/>
      <c r="E51" s="79"/>
      <c r="F51" s="79"/>
      <c r="G51" s="79"/>
      <c r="H51" s="79"/>
      <c r="I51" s="79"/>
      <c r="J51" s="79"/>
      <c r="K51" s="79"/>
    </row>
    <row r="52" spans="1:11" x14ac:dyDescent="0.2">
      <c r="A52" s="61"/>
      <c r="B52" s="67"/>
      <c r="C52" s="67"/>
      <c r="D52" s="67"/>
      <c r="E52" s="67"/>
      <c r="F52" s="67"/>
      <c r="G52" s="67"/>
      <c r="H52" s="67"/>
      <c r="I52" s="67"/>
      <c r="J52" s="67"/>
      <c r="K52" s="67"/>
    </row>
    <row r="53" spans="1:11" x14ac:dyDescent="0.2">
      <c r="A53" s="61"/>
      <c r="B53" s="67"/>
      <c r="C53" s="67"/>
      <c r="D53" s="67"/>
      <c r="E53" s="67"/>
      <c r="F53" s="67"/>
      <c r="G53" s="67"/>
      <c r="H53" s="67"/>
      <c r="I53" s="67"/>
      <c r="J53" s="67"/>
      <c r="K53" s="67"/>
    </row>
    <row r="54" spans="1:11" x14ac:dyDescent="0.2">
      <c r="A54" s="71"/>
      <c r="B54" s="80"/>
      <c r="C54" s="80"/>
      <c r="D54" s="80"/>
      <c r="E54" s="80"/>
      <c r="F54" s="80"/>
      <c r="G54" s="80"/>
      <c r="H54" s="80"/>
      <c r="I54" s="80"/>
      <c r="J54" s="80"/>
      <c r="K54" s="80"/>
    </row>
    <row r="55" spans="1:11" x14ac:dyDescent="0.2">
      <c r="A55" s="61"/>
      <c r="B55" s="67"/>
      <c r="C55" s="67"/>
      <c r="D55" s="67"/>
      <c r="E55" s="67"/>
      <c r="F55" s="67"/>
      <c r="G55" s="67"/>
      <c r="H55" s="67"/>
      <c r="I55" s="67"/>
      <c r="J55" s="67"/>
      <c r="K55" s="67"/>
    </row>
    <row r="56" spans="1:11" x14ac:dyDescent="0.2">
      <c r="A56" s="6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">
      <c r="A57" s="61"/>
      <c r="B57" s="90"/>
      <c r="C57" s="90"/>
      <c r="D57" s="90"/>
      <c r="E57" s="90"/>
      <c r="F57" s="90"/>
      <c r="G57" s="90"/>
      <c r="H57" s="90"/>
      <c r="I57" s="90"/>
      <c r="J57" s="90"/>
      <c r="K57" s="9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D873-B629-5E44-A2AE-49D353F62BF0}">
  <dimension ref="A1:L29"/>
  <sheetViews>
    <sheetView workbookViewId="0">
      <selection activeCell="B14" sqref="B14"/>
    </sheetView>
  </sheetViews>
  <sheetFormatPr baseColWidth="10" defaultRowHeight="15" x14ac:dyDescent="0.2"/>
  <cols>
    <col min="1" max="1" width="22.33203125" bestFit="1" customWidth="1"/>
    <col min="2" max="12" width="11.6640625" bestFit="1" customWidth="1"/>
  </cols>
  <sheetData>
    <row r="1" spans="1:12" s="92" customFormat="1" x14ac:dyDescent="0.2">
      <c r="A1" s="92" t="s">
        <v>125</v>
      </c>
    </row>
    <row r="2" spans="1:12" s="92" customFormat="1" x14ac:dyDescent="0.2">
      <c r="A2" s="92" t="s">
        <v>126</v>
      </c>
    </row>
    <row r="3" spans="1:12" x14ac:dyDescent="0.2">
      <c r="B3" s="96">
        <v>2014</v>
      </c>
      <c r="C3" s="96">
        <v>2015</v>
      </c>
      <c r="D3" s="96">
        <v>2016</v>
      </c>
      <c r="E3" s="96">
        <v>2017</v>
      </c>
      <c r="F3" s="96">
        <v>2018</v>
      </c>
      <c r="G3" s="96">
        <v>2019</v>
      </c>
      <c r="H3" s="96">
        <v>2020</v>
      </c>
      <c r="I3" s="96">
        <v>2021</v>
      </c>
      <c r="J3" s="96">
        <v>2022</v>
      </c>
      <c r="K3" s="96">
        <v>2023</v>
      </c>
      <c r="L3" s="96">
        <v>2024</v>
      </c>
    </row>
    <row r="4" spans="1:12" x14ac:dyDescent="0.2">
      <c r="A4" t="s">
        <v>127</v>
      </c>
      <c r="B4" s="93">
        <v>367647</v>
      </c>
      <c r="C4" s="93">
        <v>239854</v>
      </c>
      <c r="D4" s="93">
        <v>200628</v>
      </c>
      <c r="E4" s="93">
        <v>237162</v>
      </c>
      <c r="F4" s="93">
        <v>279332</v>
      </c>
      <c r="G4" s="93">
        <v>255583</v>
      </c>
      <c r="H4" s="93">
        <v>178574</v>
      </c>
      <c r="I4" s="93">
        <v>276692</v>
      </c>
      <c r="J4" s="93">
        <v>398675</v>
      </c>
      <c r="K4" s="93">
        <v>334697</v>
      </c>
      <c r="L4" s="93">
        <v>339247</v>
      </c>
    </row>
    <row r="5" spans="1:12" x14ac:dyDescent="0.2">
      <c r="A5" t="s">
        <v>128</v>
      </c>
      <c r="B5" s="93">
        <v>51630</v>
      </c>
      <c r="C5" s="93">
        <v>21966</v>
      </c>
      <c r="D5" s="93">
        <v>7969</v>
      </c>
      <c r="E5" s="93">
        <v>18674</v>
      </c>
      <c r="F5" s="93">
        <v>30953</v>
      </c>
      <c r="G5" s="93">
        <v>20056</v>
      </c>
      <c r="H5" s="93">
        <v>-28883</v>
      </c>
      <c r="I5" s="93">
        <v>31324</v>
      </c>
      <c r="J5" s="93">
        <v>77753</v>
      </c>
      <c r="K5" s="93">
        <v>52783</v>
      </c>
      <c r="L5" s="93">
        <v>48873</v>
      </c>
    </row>
    <row r="6" spans="1:12" x14ac:dyDescent="0.2">
      <c r="A6" t="s">
        <v>129</v>
      </c>
      <c r="B6" s="93">
        <v>286</v>
      </c>
      <c r="C6" s="93">
        <v>311</v>
      </c>
      <c r="D6" s="93">
        <v>453</v>
      </c>
      <c r="E6" s="93">
        <v>601</v>
      </c>
      <c r="F6" s="93">
        <v>766</v>
      </c>
      <c r="G6" s="93">
        <v>830</v>
      </c>
      <c r="H6" s="93">
        <v>1158</v>
      </c>
      <c r="I6" s="93">
        <v>947</v>
      </c>
      <c r="J6" s="93">
        <v>798</v>
      </c>
      <c r="K6" s="93">
        <v>849</v>
      </c>
      <c r="L6" s="93">
        <v>996</v>
      </c>
    </row>
    <row r="7" spans="1:12" x14ac:dyDescent="0.2">
      <c r="A7" t="s">
        <v>63</v>
      </c>
      <c r="B7" s="93">
        <v>51916</v>
      </c>
      <c r="C7" s="93">
        <v>22277</v>
      </c>
      <c r="D7" s="93">
        <v>8422</v>
      </c>
      <c r="E7" s="93">
        <v>19275</v>
      </c>
      <c r="F7" s="93">
        <v>31719</v>
      </c>
      <c r="G7" s="93">
        <v>20886</v>
      </c>
      <c r="H7" s="93">
        <v>-27725</v>
      </c>
      <c r="I7" s="93">
        <v>32271</v>
      </c>
      <c r="J7" s="93">
        <v>78551</v>
      </c>
      <c r="K7" s="93">
        <v>53632</v>
      </c>
      <c r="L7" s="93">
        <v>49869</v>
      </c>
    </row>
    <row r="8" spans="1:12" x14ac:dyDescent="0.2">
      <c r="A8" t="s">
        <v>130</v>
      </c>
      <c r="B8" s="93">
        <v>17297</v>
      </c>
      <c r="C8" s="93">
        <v>18048</v>
      </c>
      <c r="D8" s="93">
        <v>22308</v>
      </c>
      <c r="E8" s="93">
        <v>19893</v>
      </c>
      <c r="F8" s="93">
        <v>18745</v>
      </c>
      <c r="G8" s="93">
        <v>18998</v>
      </c>
      <c r="H8" s="93">
        <v>46009</v>
      </c>
      <c r="I8" s="93">
        <v>20607</v>
      </c>
      <c r="J8" s="93">
        <v>24040</v>
      </c>
      <c r="K8" s="93">
        <v>20461</v>
      </c>
      <c r="L8" s="93">
        <v>23442</v>
      </c>
    </row>
    <row r="9" spans="1:12" x14ac:dyDescent="0.2">
      <c r="A9" t="s">
        <v>131</v>
      </c>
      <c r="B9" s="93">
        <v>18015</v>
      </c>
      <c r="C9" s="93">
        <v>5415</v>
      </c>
      <c r="D9" s="93">
        <v>-406</v>
      </c>
      <c r="E9" s="93">
        <v>-1174</v>
      </c>
      <c r="F9" s="93">
        <v>9532</v>
      </c>
      <c r="G9" s="93">
        <v>5282</v>
      </c>
      <c r="H9" s="93">
        <v>-5632</v>
      </c>
      <c r="I9" s="93">
        <v>7636</v>
      </c>
      <c r="J9" s="93">
        <v>20176</v>
      </c>
      <c r="K9" s="93">
        <v>15429</v>
      </c>
      <c r="L9" s="93">
        <v>13810</v>
      </c>
    </row>
    <row r="10" spans="1:12" x14ac:dyDescent="0.2">
      <c r="A10" t="s">
        <v>132</v>
      </c>
      <c r="B10" s="98">
        <v>0.35</v>
      </c>
      <c r="C10" s="98">
        <v>0.25</v>
      </c>
      <c r="D10" s="98">
        <v>-0.05</v>
      </c>
      <c r="E10" s="98">
        <v>-0.06</v>
      </c>
      <c r="F10" s="98">
        <v>0.31</v>
      </c>
      <c r="G10" s="98">
        <v>0.26</v>
      </c>
      <c r="H10" s="98">
        <v>0.19</v>
      </c>
      <c r="I10" s="98">
        <v>0.24</v>
      </c>
      <c r="J10" s="98">
        <v>0.26</v>
      </c>
      <c r="K10" s="98">
        <v>0.28999999999999998</v>
      </c>
      <c r="L10" s="98">
        <v>0.28000000000000003</v>
      </c>
    </row>
    <row r="11" spans="1:12" x14ac:dyDescent="0.2">
      <c r="A11" t="s">
        <v>133</v>
      </c>
      <c r="B11" s="94">
        <v>0.14000000000000001</v>
      </c>
      <c r="C11" s="94">
        <v>0.09</v>
      </c>
      <c r="D11" s="94">
        <v>0.04</v>
      </c>
      <c r="E11" s="94">
        <v>0.08</v>
      </c>
      <c r="F11" s="94">
        <v>0.11</v>
      </c>
      <c r="G11" s="94">
        <v>0.08</v>
      </c>
      <c r="H11" s="94">
        <v>-0.16</v>
      </c>
      <c r="I11" s="94">
        <v>0.12</v>
      </c>
      <c r="J11" s="94">
        <v>0.2</v>
      </c>
      <c r="K11" s="94">
        <v>0.16</v>
      </c>
      <c r="L11" s="94">
        <v>0.15</v>
      </c>
    </row>
    <row r="12" spans="1:12" s="92" customFormat="1" x14ac:dyDescent="0.2">
      <c r="A12" s="92" t="s">
        <v>134</v>
      </c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</row>
    <row r="13" spans="1:12" x14ac:dyDescent="0.2">
      <c r="A13" t="s">
        <v>65</v>
      </c>
      <c r="B13" s="93">
        <v>-32952</v>
      </c>
      <c r="C13" s="93">
        <v>-26490</v>
      </c>
      <c r="D13" s="93">
        <v>-16163</v>
      </c>
      <c r="E13" s="93">
        <v>-15402</v>
      </c>
      <c r="F13" s="93">
        <v>-19574</v>
      </c>
      <c r="G13" s="93">
        <v>24361</v>
      </c>
      <c r="H13" s="93">
        <v>-17282</v>
      </c>
      <c r="I13" s="93">
        <v>-12076</v>
      </c>
      <c r="J13" s="93">
        <v>-18407</v>
      </c>
      <c r="K13" s="93">
        <v>-21919</v>
      </c>
      <c r="L13" s="93">
        <v>-24306</v>
      </c>
    </row>
    <row r="14" spans="1:12" x14ac:dyDescent="0.2">
      <c r="A14" t="s">
        <v>135</v>
      </c>
      <c r="B14" s="93">
        <v>-4932</v>
      </c>
      <c r="C14" s="93">
        <v>-3113</v>
      </c>
      <c r="D14" s="93">
        <v>-182</v>
      </c>
      <c r="E14" s="93">
        <v>-649</v>
      </c>
      <c r="F14" s="93">
        <v>-2566</v>
      </c>
      <c r="G14" s="93">
        <v>923</v>
      </c>
      <c r="H14" s="93">
        <v>-1653</v>
      </c>
      <c r="I14" s="93">
        <v>4162</v>
      </c>
      <c r="J14" s="93">
        <v>-19688</v>
      </c>
      <c r="K14" s="93">
        <v>-41</v>
      </c>
      <c r="L14" s="93">
        <v>-8676</v>
      </c>
    </row>
    <row r="15" spans="1:12" x14ac:dyDescent="0.2">
      <c r="A15" t="s">
        <v>136</v>
      </c>
      <c r="B15" s="93">
        <v>3118</v>
      </c>
      <c r="C15" s="93">
        <v>4692</v>
      </c>
      <c r="D15" s="93">
        <v>-2090</v>
      </c>
      <c r="E15" s="93">
        <v>-3954</v>
      </c>
      <c r="F15" s="93">
        <v>-545</v>
      </c>
      <c r="G15" s="93">
        <v>-2640</v>
      </c>
      <c r="H15" s="93">
        <v>5384</v>
      </c>
      <c r="I15" s="93">
        <v>-12098</v>
      </c>
      <c r="J15" s="93">
        <v>-11019</v>
      </c>
      <c r="K15" s="93">
        <v>4370</v>
      </c>
      <c r="L15" s="93">
        <v>-6030</v>
      </c>
    </row>
    <row r="16" spans="1:12" x14ac:dyDescent="0.2">
      <c r="A16" t="s">
        <v>41</v>
      </c>
      <c r="B16" s="93">
        <v>-1343</v>
      </c>
      <c r="C16" s="93">
        <v>-379</v>
      </c>
      <c r="D16" s="93">
        <v>-388</v>
      </c>
      <c r="E16" s="93">
        <v>-1682</v>
      </c>
      <c r="F16" s="93">
        <v>-3107</v>
      </c>
      <c r="G16" s="93">
        <v>72</v>
      </c>
      <c r="H16" s="93">
        <v>-315</v>
      </c>
      <c r="I16" s="93">
        <v>-489</v>
      </c>
      <c r="J16" s="93">
        <v>-6947</v>
      </c>
      <c r="K16" s="93">
        <v>-3472</v>
      </c>
      <c r="L16" s="93">
        <v>-1812</v>
      </c>
    </row>
    <row r="17" spans="1:12" x14ac:dyDescent="0.2">
      <c r="A17" t="s">
        <v>137</v>
      </c>
      <c r="B17" s="93">
        <v>-68</v>
      </c>
      <c r="C17" s="93">
        <v>45</v>
      </c>
      <c r="D17" s="93">
        <v>-25</v>
      </c>
      <c r="E17" s="93">
        <v>-117</v>
      </c>
      <c r="F17" s="93">
        <v>171</v>
      </c>
      <c r="G17" s="93">
        <v>-234</v>
      </c>
      <c r="H17" s="93">
        <v>420</v>
      </c>
      <c r="I17" s="93">
        <v>-71</v>
      </c>
      <c r="J17" s="93">
        <v>-688</v>
      </c>
      <c r="K17" s="93">
        <v>-426</v>
      </c>
      <c r="L17" s="93">
        <v>389</v>
      </c>
    </row>
    <row r="18" spans="1:12" x14ac:dyDescent="0.2">
      <c r="A18" t="s">
        <v>138</v>
      </c>
      <c r="B18" s="93">
        <v>-6639</v>
      </c>
      <c r="C18" s="93">
        <v>-7471</v>
      </c>
      <c r="D18" s="93">
        <v>2321</v>
      </c>
      <c r="E18" s="93">
        <v>5104</v>
      </c>
      <c r="F18" s="93">
        <v>915</v>
      </c>
      <c r="G18" s="93">
        <v>3725</v>
      </c>
      <c r="H18" s="93">
        <v>-7142</v>
      </c>
      <c r="I18" s="93">
        <v>16820</v>
      </c>
      <c r="J18" s="93">
        <v>-1034</v>
      </c>
      <c r="K18" s="93">
        <v>-513</v>
      </c>
      <c r="L18" s="93">
        <v>-1223</v>
      </c>
    </row>
    <row r="19" spans="1:12" x14ac:dyDescent="0.2"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</row>
    <row r="20" spans="1:12" x14ac:dyDescent="0.2">
      <c r="A20" t="s">
        <v>139</v>
      </c>
      <c r="B20" s="95">
        <v>1.34E-2</v>
      </c>
      <c r="C20" s="95">
        <v>1.2999999999999999E-2</v>
      </c>
      <c r="D20" s="95">
        <v>8.9999999999999998E-4</v>
      </c>
      <c r="E20" s="95">
        <v>2.7000000000000001E-3</v>
      </c>
      <c r="F20" s="95">
        <v>9.1999999999999998E-3</v>
      </c>
      <c r="G20" s="95">
        <v>3.5999999999999999E-3</v>
      </c>
      <c r="H20" s="95">
        <v>9.2999999999999992E-3</v>
      </c>
      <c r="I20" s="95">
        <v>-1.4999999999999999E-2</v>
      </c>
      <c r="J20" s="95">
        <v>4.9399999999999999E-2</v>
      </c>
      <c r="K20" s="95">
        <v>1E-4</v>
      </c>
      <c r="L20" s="95">
        <v>2.5600000000000001E-2</v>
      </c>
    </row>
    <row r="29" spans="1:12" x14ac:dyDescent="0.2">
      <c r="B29" s="18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3EE4-AF4E-0640-A006-B343C521A3F0}">
  <dimension ref="A1:AK34"/>
  <sheetViews>
    <sheetView tabSelected="1" topLeftCell="V1" workbookViewId="0">
      <selection activeCell="AF9" sqref="AF9"/>
    </sheetView>
  </sheetViews>
  <sheetFormatPr baseColWidth="10" defaultRowHeight="15" x14ac:dyDescent="0.2"/>
  <cols>
    <col min="1" max="1" width="41" bestFit="1" customWidth="1"/>
    <col min="2" max="12" width="11.6640625" style="66" bestFit="1" customWidth="1"/>
    <col min="13" max="13" width="3" style="66" customWidth="1"/>
    <col min="14" max="14" width="13.5" bestFit="1" customWidth="1"/>
    <col min="15" max="24" width="11.6640625" bestFit="1" customWidth="1"/>
    <col min="26" max="26" width="19.5" style="89" bestFit="1" customWidth="1"/>
    <col min="27" max="27" width="12.1640625" style="89" bestFit="1" customWidth="1"/>
    <col min="30" max="30" width="22" bestFit="1" customWidth="1"/>
    <col min="31" max="31" width="11.6640625" bestFit="1" customWidth="1"/>
    <col min="34" max="34" width="21.33203125" bestFit="1" customWidth="1"/>
  </cols>
  <sheetData>
    <row r="1" spans="1:37" s="103" customFormat="1" x14ac:dyDescent="0.2">
      <c r="A1" s="101" t="s">
        <v>143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6"/>
      <c r="N1" s="104" t="s">
        <v>144</v>
      </c>
      <c r="O1" s="104"/>
      <c r="P1" s="104"/>
      <c r="Q1" s="104"/>
      <c r="R1" s="104"/>
      <c r="S1" s="104"/>
      <c r="T1" s="104"/>
      <c r="U1" s="104"/>
      <c r="V1" s="104"/>
      <c r="W1" s="104"/>
      <c r="X1" s="104"/>
      <c r="Z1" s="142" t="s">
        <v>124</v>
      </c>
      <c r="AA1" s="143"/>
    </row>
    <row r="2" spans="1:37" s="8" customFormat="1" ht="16" thickBot="1" x14ac:dyDescent="0.25">
      <c r="B2" s="96">
        <v>2014</v>
      </c>
      <c r="C2" s="96">
        <v>2015</v>
      </c>
      <c r="D2" s="96">
        <v>2016</v>
      </c>
      <c r="E2" s="96">
        <v>2017</v>
      </c>
      <c r="F2" s="96">
        <v>2018</v>
      </c>
      <c r="G2" s="96">
        <v>2019</v>
      </c>
      <c r="H2" s="96">
        <v>2020</v>
      </c>
      <c r="I2" s="96">
        <v>2021</v>
      </c>
      <c r="J2" s="96">
        <v>2022</v>
      </c>
      <c r="K2" s="96">
        <v>2023</v>
      </c>
      <c r="L2" s="96">
        <v>2024</v>
      </c>
      <c r="M2" s="96"/>
      <c r="N2" s="96">
        <v>2025</v>
      </c>
      <c r="O2" s="96">
        <v>2026</v>
      </c>
      <c r="P2" s="96">
        <v>2027</v>
      </c>
      <c r="Q2" s="96">
        <v>2028</v>
      </c>
      <c r="R2" s="96">
        <v>2029</v>
      </c>
      <c r="S2" s="96">
        <v>2030</v>
      </c>
      <c r="T2" s="96">
        <v>2031</v>
      </c>
      <c r="U2" s="96">
        <v>2032</v>
      </c>
      <c r="V2" s="96">
        <v>2033</v>
      </c>
      <c r="W2" s="96">
        <v>2034</v>
      </c>
      <c r="X2" s="96">
        <v>2035</v>
      </c>
      <c r="Z2" s="144" t="s">
        <v>158</v>
      </c>
      <c r="AA2" s="145">
        <f>'Exhibit 4'!B47</f>
        <v>655910.04</v>
      </c>
    </row>
    <row r="3" spans="1:37" s="8" customFormat="1" x14ac:dyDescent="0.2">
      <c r="A3" t="s">
        <v>127</v>
      </c>
      <c r="B3" s="93">
        <f>'10K'!B4</f>
        <v>367647</v>
      </c>
      <c r="C3" s="93">
        <f>'10K'!C4</f>
        <v>239854</v>
      </c>
      <c r="D3" s="93">
        <f>'10K'!D4</f>
        <v>200628</v>
      </c>
      <c r="E3" s="93">
        <f>'10K'!E4</f>
        <v>237162</v>
      </c>
      <c r="F3" s="93">
        <f>'10K'!F4</f>
        <v>279332</v>
      </c>
      <c r="G3" s="93">
        <f>'10K'!G4</f>
        <v>255583</v>
      </c>
      <c r="H3" s="93">
        <f>'10K'!H4</f>
        <v>178574</v>
      </c>
      <c r="I3" s="93">
        <f>'10K'!I4</f>
        <v>276692</v>
      </c>
      <c r="J3" s="93">
        <f>'10K'!J4</f>
        <v>398675</v>
      </c>
      <c r="K3" s="93">
        <f>'10K'!K4</f>
        <v>334697</v>
      </c>
      <c r="L3" s="93">
        <f>'10K'!L4</f>
        <v>339247</v>
      </c>
      <c r="M3" s="96"/>
      <c r="N3" s="93">
        <f>L3*(1+$L$6)</f>
        <v>346299.98719437991</v>
      </c>
      <c r="O3" s="93">
        <f>N3*(1+$L$6)</f>
        <v>353499.60686705459</v>
      </c>
      <c r="P3" s="93">
        <f t="shared" ref="P3:X3" si="0">O3*(1+$L$6)</f>
        <v>360848.90752542933</v>
      </c>
      <c r="Q3" s="93">
        <f t="shared" si="0"/>
        <v>368351.00105575629</v>
      </c>
      <c r="R3" s="93">
        <f t="shared" si="0"/>
        <v>376009.06404078862</v>
      </c>
      <c r="S3" s="93">
        <f t="shared" si="0"/>
        <v>383826.33910482883</v>
      </c>
      <c r="T3" s="93">
        <f t="shared" si="0"/>
        <v>391806.13628674072</v>
      </c>
      <c r="U3" s="93">
        <f t="shared" si="0"/>
        <v>399951.83444150654</v>
      </c>
      <c r="V3" s="93">
        <f t="shared" si="0"/>
        <v>408266.88267092255</v>
      </c>
      <c r="W3" s="93">
        <f t="shared" si="0"/>
        <v>416754.80178403901</v>
      </c>
      <c r="X3" s="93">
        <f t="shared" si="0"/>
        <v>425419.18578796287</v>
      </c>
      <c r="Z3" s="144" t="s">
        <v>153</v>
      </c>
      <c r="AA3" s="146">
        <f>'Exhibit 4'!B29</f>
        <v>41710</v>
      </c>
      <c r="AD3" s="176" t="s">
        <v>161</v>
      </c>
      <c r="AE3" s="179" t="s">
        <v>180</v>
      </c>
      <c r="AH3" s="176" t="s">
        <v>179</v>
      </c>
      <c r="AI3" s="167">
        <v>0.02</v>
      </c>
      <c r="AJ3" s="167">
        <v>2.5000000000000001E-2</v>
      </c>
      <c r="AK3" s="168">
        <v>0.03</v>
      </c>
    </row>
    <row r="4" spans="1:37" s="114" customFormat="1" x14ac:dyDescent="0.2">
      <c r="A4" s="110" t="s">
        <v>145</v>
      </c>
      <c r="B4" s="111"/>
      <c r="C4" s="119">
        <f>(C3-B3)/B3</f>
        <v>-0.34759701561552248</v>
      </c>
      <c r="D4" s="119">
        <f t="shared" ref="D4:L4" si="1">(D3-C3)/C3</f>
        <v>-0.16354115420213963</v>
      </c>
      <c r="E4" s="119">
        <f t="shared" si="1"/>
        <v>0.18209821161552725</v>
      </c>
      <c r="F4" s="119">
        <f t="shared" si="1"/>
        <v>0.17781094779096146</v>
      </c>
      <c r="G4" s="119">
        <f t="shared" si="1"/>
        <v>-8.5020692222874575E-2</v>
      </c>
      <c r="H4" s="119">
        <f t="shared" si="1"/>
        <v>-0.30130720744337458</v>
      </c>
      <c r="I4" s="119">
        <f t="shared" si="1"/>
        <v>0.54945288787841451</v>
      </c>
      <c r="J4" s="119">
        <f t="shared" si="1"/>
        <v>0.44086204154800285</v>
      </c>
      <c r="K4" s="119">
        <f t="shared" si="1"/>
        <v>-0.16047657866683387</v>
      </c>
      <c r="L4" s="119">
        <f t="shared" si="1"/>
        <v>1.3594385369453565E-2</v>
      </c>
      <c r="M4" s="113"/>
      <c r="N4" s="119">
        <f>$L$6</f>
        <v>2.0790123993373277E-2</v>
      </c>
      <c r="O4" s="119">
        <f t="shared" ref="O4:X4" si="2">$L$6</f>
        <v>2.0790123993373277E-2</v>
      </c>
      <c r="P4" s="119">
        <f t="shared" si="2"/>
        <v>2.0790123993373277E-2</v>
      </c>
      <c r="Q4" s="119">
        <f t="shared" si="2"/>
        <v>2.0790123993373277E-2</v>
      </c>
      <c r="R4" s="119">
        <f t="shared" si="2"/>
        <v>2.0790123993373277E-2</v>
      </c>
      <c r="S4" s="119">
        <f t="shared" si="2"/>
        <v>2.0790123993373277E-2</v>
      </c>
      <c r="T4" s="119">
        <f t="shared" si="2"/>
        <v>2.0790123993373277E-2</v>
      </c>
      <c r="U4" s="119">
        <f t="shared" si="2"/>
        <v>2.0790123993373277E-2</v>
      </c>
      <c r="V4" s="119">
        <f t="shared" si="2"/>
        <v>2.0790123993373277E-2</v>
      </c>
      <c r="W4" s="119">
        <f t="shared" si="2"/>
        <v>2.0790123993373277E-2</v>
      </c>
      <c r="X4" s="119">
        <f t="shared" si="2"/>
        <v>2.0790123993373277E-2</v>
      </c>
      <c r="Z4" s="147" t="s">
        <v>159</v>
      </c>
      <c r="AA4" s="148">
        <f>AA2/(AA2+AA3)</f>
        <v>0.9402110065530801</v>
      </c>
      <c r="AD4" s="177">
        <v>0.3</v>
      </c>
      <c r="AE4" s="180">
        <v>148.56411566965181</v>
      </c>
      <c r="AH4" s="169">
        <v>5.5E-2</v>
      </c>
      <c r="AI4" s="172">
        <v>147.08553781050225</v>
      </c>
      <c r="AJ4" s="172">
        <v>165.11327229906712</v>
      </c>
      <c r="AK4" s="173">
        <v>190.35210058305788</v>
      </c>
    </row>
    <row r="5" spans="1:37" s="114" customFormat="1" x14ac:dyDescent="0.2">
      <c r="A5" s="112" t="s">
        <v>147</v>
      </c>
      <c r="B5" s="118">
        <f>'10K'!B5</f>
        <v>51630</v>
      </c>
      <c r="C5" s="118">
        <f>'10K'!C5</f>
        <v>21966</v>
      </c>
      <c r="D5" s="118">
        <f>'10K'!D5</f>
        <v>7969</v>
      </c>
      <c r="E5" s="118">
        <f>'10K'!E5</f>
        <v>18674</v>
      </c>
      <c r="F5" s="118">
        <f>'10K'!F5</f>
        <v>30953</v>
      </c>
      <c r="G5" s="118">
        <f>'10K'!G5</f>
        <v>20056</v>
      </c>
      <c r="H5" s="118">
        <f>'10K'!H5</f>
        <v>-28883</v>
      </c>
      <c r="I5" s="118">
        <f>'10K'!I5</f>
        <v>31324</v>
      </c>
      <c r="J5" s="118">
        <f>'10K'!J5</f>
        <v>77753</v>
      </c>
      <c r="K5" s="118">
        <f>'10K'!K5</f>
        <v>52783</v>
      </c>
      <c r="L5" s="118">
        <f>'10K'!L5</f>
        <v>48873</v>
      </c>
      <c r="M5" s="113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Z5" s="147" t="s">
        <v>160</v>
      </c>
      <c r="AA5" s="148">
        <f>AA3/(AA2+AA3)</f>
        <v>5.9788993446919896E-2</v>
      </c>
      <c r="AD5" s="177">
        <v>0.36</v>
      </c>
      <c r="AE5" s="180">
        <v>136.40073806812362</v>
      </c>
      <c r="AH5" s="169">
        <v>5.7799999999999997E-2</v>
      </c>
      <c r="AI5" s="172">
        <v>136.23198322405753</v>
      </c>
      <c r="AJ5" s="172">
        <v>151.13948539488558</v>
      </c>
      <c r="AK5" s="173">
        <v>171.40939841852943</v>
      </c>
    </row>
    <row r="6" spans="1:37" s="114" customFormat="1" x14ac:dyDescent="0.2">
      <c r="A6" s="110" t="s">
        <v>172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21">
        <f>AVERAGE(C4:G4,I4,K4:L4)</f>
        <v>2.0790123993373277E-2</v>
      </c>
      <c r="M6" s="113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Z6" s="147" t="s">
        <v>161</v>
      </c>
      <c r="AA6" s="149">
        <v>0.36</v>
      </c>
      <c r="AD6" s="177">
        <v>0.4</v>
      </c>
      <c r="AE6" s="180">
        <v>129.34495398868833</v>
      </c>
      <c r="AH6" s="169">
        <v>0.06</v>
      </c>
      <c r="AI6" s="172">
        <v>128.77028954694728</v>
      </c>
      <c r="AJ6" s="172">
        <v>141.72780590835964</v>
      </c>
      <c r="AK6" s="173">
        <v>159.00449439024283</v>
      </c>
    </row>
    <row r="7" spans="1:37" ht="16" thickBot="1" x14ac:dyDescent="0.25">
      <c r="A7" t="s">
        <v>63</v>
      </c>
      <c r="B7" s="93">
        <f>'10K'!B7</f>
        <v>51916</v>
      </c>
      <c r="C7" s="93">
        <f>'10K'!C7</f>
        <v>22277</v>
      </c>
      <c r="D7" s="93">
        <f>'10K'!D7</f>
        <v>8422</v>
      </c>
      <c r="E7" s="93">
        <f>'10K'!E7</f>
        <v>19275</v>
      </c>
      <c r="F7" s="93">
        <f>'10K'!F7</f>
        <v>31719</v>
      </c>
      <c r="G7" s="93">
        <f>'10K'!G7</f>
        <v>20886</v>
      </c>
      <c r="H7" s="93">
        <f>'10K'!H7</f>
        <v>-27725</v>
      </c>
      <c r="I7" s="93">
        <f>'10K'!I7</f>
        <v>32271</v>
      </c>
      <c r="J7" s="93">
        <f>'10K'!J7</f>
        <v>78551</v>
      </c>
      <c r="K7" s="93">
        <f>'10K'!K7</f>
        <v>53632</v>
      </c>
      <c r="L7" s="93">
        <f>'10K'!L7</f>
        <v>49869</v>
      </c>
      <c r="M7" s="93"/>
      <c r="N7" s="93">
        <f>N3*N8</f>
        <v>37323.443064283172</v>
      </c>
      <c r="O7" s="93">
        <f t="shared" ref="O7:X7" si="3">O3*O8</f>
        <v>38099.402073449222</v>
      </c>
      <c r="P7" s="93">
        <f t="shared" si="3"/>
        <v>38891.493366629613</v>
      </c>
      <c r="Q7" s="93">
        <f t="shared" si="3"/>
        <v>39700.052336009292</v>
      </c>
      <c r="R7" s="93">
        <f t="shared" si="3"/>
        <v>40525.421346618336</v>
      </c>
      <c r="S7" s="93">
        <f t="shared" si="3"/>
        <v>41367.949881298227</v>
      </c>
      <c r="T7" s="93">
        <f t="shared" si="3"/>
        <v>42227.994688682062</v>
      </c>
      <c r="U7" s="93">
        <f t="shared" si="3"/>
        <v>43105.919934251266</v>
      </c>
      <c r="V7" s="93">
        <f t="shared" si="3"/>
        <v>44002.097354532772</v>
      </c>
      <c r="W7" s="93">
        <f t="shared" si="3"/>
        <v>44916.906414501987</v>
      </c>
      <c r="X7" s="93">
        <f t="shared" si="3"/>
        <v>45850.734468258226</v>
      </c>
      <c r="Z7" s="144" t="s">
        <v>162</v>
      </c>
      <c r="AA7" s="150">
        <v>5.5E-2</v>
      </c>
      <c r="AD7" s="178">
        <v>0.5</v>
      </c>
      <c r="AE7" s="181">
        <v>114.54417089121191</v>
      </c>
      <c r="AH7" s="170">
        <v>6.5000000000000002E-2</v>
      </c>
      <c r="AI7" s="174">
        <v>114.52559191967535</v>
      </c>
      <c r="AJ7" s="174">
        <v>124.18573622122565</v>
      </c>
      <c r="AK7" s="175">
        <v>136.60592175179033</v>
      </c>
    </row>
    <row r="8" spans="1:37" s="107" customFormat="1" x14ac:dyDescent="0.2">
      <c r="A8" s="107" t="s">
        <v>133</v>
      </c>
      <c r="B8" s="108">
        <f>'10K'!B11</f>
        <v>0.14000000000000001</v>
      </c>
      <c r="C8" s="108">
        <f>'10K'!C11</f>
        <v>0.09</v>
      </c>
      <c r="D8" s="108">
        <f>'10K'!D11</f>
        <v>0.04</v>
      </c>
      <c r="E8" s="108">
        <f>'10K'!E11</f>
        <v>0.08</v>
      </c>
      <c r="F8" s="108">
        <f>'10K'!F11</f>
        <v>0.11</v>
      </c>
      <c r="G8" s="108">
        <f>'10K'!G11</f>
        <v>0.08</v>
      </c>
      <c r="H8" s="108">
        <f>'10K'!H11</f>
        <v>-0.16</v>
      </c>
      <c r="I8" s="108">
        <f>'10K'!I11</f>
        <v>0.12</v>
      </c>
      <c r="J8" s="108">
        <f>'10K'!J11</f>
        <v>0.2</v>
      </c>
      <c r="K8" s="108">
        <f>'10K'!K11</f>
        <v>0.16</v>
      </c>
      <c r="L8" s="108">
        <f>'10K'!L11</f>
        <v>0.15</v>
      </c>
      <c r="M8" s="109"/>
      <c r="N8" s="108">
        <f>$L$9</f>
        <v>0.10777777777777779</v>
      </c>
      <c r="O8" s="108">
        <f t="shared" ref="O8:X8" si="4">$L$9</f>
        <v>0.10777777777777779</v>
      </c>
      <c r="P8" s="108">
        <f t="shared" si="4"/>
        <v>0.10777777777777779</v>
      </c>
      <c r="Q8" s="108">
        <f t="shared" si="4"/>
        <v>0.10777777777777779</v>
      </c>
      <c r="R8" s="108">
        <f t="shared" si="4"/>
        <v>0.10777777777777779</v>
      </c>
      <c r="S8" s="108">
        <f t="shared" si="4"/>
        <v>0.10777777777777779</v>
      </c>
      <c r="T8" s="108">
        <f t="shared" si="4"/>
        <v>0.10777777777777779</v>
      </c>
      <c r="U8" s="108">
        <f t="shared" si="4"/>
        <v>0.10777777777777779</v>
      </c>
      <c r="V8" s="108">
        <f t="shared" si="4"/>
        <v>0.10777777777777779</v>
      </c>
      <c r="W8" s="108">
        <f t="shared" si="4"/>
        <v>0.10777777777777779</v>
      </c>
      <c r="X8" s="108">
        <f t="shared" si="4"/>
        <v>0.10777777777777779</v>
      </c>
      <c r="Z8" s="144" t="s">
        <v>163</v>
      </c>
      <c r="AA8" s="150">
        <v>4.0500000000000001E-2</v>
      </c>
      <c r="AD8" s="95"/>
      <c r="AE8" s="166"/>
      <c r="AF8" s="166"/>
      <c r="AG8" s="166"/>
    </row>
    <row r="9" spans="1:37" s="107" customFormat="1" x14ac:dyDescent="0.2">
      <c r="A9" s="107" t="s">
        <v>173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17">
        <f>AVERAGE(B8:G8,I8,K8:L8)</f>
        <v>0.10777777777777779</v>
      </c>
      <c r="M9" s="109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Z9" s="151" t="s">
        <v>164</v>
      </c>
      <c r="AA9" s="152">
        <f>AA8+AA6*AA7</f>
        <v>6.0299999999999999E-2</v>
      </c>
    </row>
    <row r="10" spans="1:37" s="107" customFormat="1" x14ac:dyDescent="0.2">
      <c r="A10" t="s">
        <v>146</v>
      </c>
      <c r="B10" s="93">
        <f>'10K'!B9</f>
        <v>18015</v>
      </c>
      <c r="C10" s="93">
        <f>'10K'!C9</f>
        <v>5415</v>
      </c>
      <c r="D10" s="93">
        <f>'10K'!D9</f>
        <v>-406</v>
      </c>
      <c r="E10" s="93">
        <f>'10K'!E9</f>
        <v>-1174</v>
      </c>
      <c r="F10" s="93">
        <f>'10K'!F9</f>
        <v>9532</v>
      </c>
      <c r="G10" s="93">
        <f>'10K'!G9</f>
        <v>5282</v>
      </c>
      <c r="H10" s="93">
        <f>'10K'!H9</f>
        <v>-5632</v>
      </c>
      <c r="I10" s="93">
        <f>'10K'!I9</f>
        <v>7636</v>
      </c>
      <c r="J10" s="93">
        <f>'10K'!J9</f>
        <v>20176</v>
      </c>
      <c r="K10" s="93">
        <f>'10K'!K9</f>
        <v>15429</v>
      </c>
      <c r="L10" s="93">
        <f>'10K'!L9</f>
        <v>13810</v>
      </c>
      <c r="M10" s="109"/>
      <c r="N10" s="93">
        <f>N7*N11</f>
        <v>9656.7849736982989</v>
      </c>
      <c r="O10" s="93">
        <f t="shared" ref="O10:X10" si="5">O7*O11</f>
        <v>9857.5507306788295</v>
      </c>
      <c r="P10" s="93">
        <f t="shared" si="5"/>
        <v>10062.490432640609</v>
      </c>
      <c r="Q10" s="93">
        <f t="shared" si="5"/>
        <v>10271.690856417337</v>
      </c>
      <c r="R10" s="93">
        <f t="shared" si="5"/>
        <v>10485.240582943854</v>
      </c>
      <c r="S10" s="93">
        <f t="shared" si="5"/>
        <v>10703.230034763606</v>
      </c>
      <c r="T10" s="93">
        <f t="shared" si="5"/>
        <v>10925.751514315936</v>
      </c>
      <c r="U10" s="93">
        <f t="shared" si="5"/>
        <v>11152.899243019348</v>
      </c>
      <c r="V10" s="93">
        <f t="shared" si="5"/>
        <v>11384.769401167321</v>
      </c>
      <c r="W10" s="93">
        <f t="shared" si="5"/>
        <v>11621.460168653552</v>
      </c>
      <c r="X10" s="93">
        <f t="shared" si="5"/>
        <v>11863.071766543906</v>
      </c>
      <c r="Z10" s="144" t="s">
        <v>129</v>
      </c>
      <c r="AA10" s="153">
        <f>'10K'!L6</f>
        <v>996</v>
      </c>
    </row>
    <row r="11" spans="1:37" x14ac:dyDescent="0.2">
      <c r="A11" t="s">
        <v>142</v>
      </c>
      <c r="B11" s="95">
        <f>'10K'!B10</f>
        <v>0.35</v>
      </c>
      <c r="C11" s="95">
        <f>'10K'!C10</f>
        <v>0.25</v>
      </c>
      <c r="D11" s="95">
        <f>'10K'!D10</f>
        <v>-0.05</v>
      </c>
      <c r="E11" s="95">
        <f>'10K'!E10</f>
        <v>-0.06</v>
      </c>
      <c r="F11" s="95">
        <f>'10K'!F10</f>
        <v>0.31</v>
      </c>
      <c r="G11" s="95">
        <f>'10K'!G10</f>
        <v>0.26</v>
      </c>
      <c r="H11" s="95">
        <f>'10K'!H10</f>
        <v>0.19</v>
      </c>
      <c r="I11" s="95">
        <f>'10K'!I10</f>
        <v>0.24</v>
      </c>
      <c r="J11" s="95">
        <f>'10K'!J10</f>
        <v>0.26</v>
      </c>
      <c r="K11" s="95">
        <f>'10K'!K10</f>
        <v>0.28999999999999998</v>
      </c>
      <c r="L11" s="95">
        <f>'10K'!L10</f>
        <v>0.28000000000000003</v>
      </c>
      <c r="M11" s="95"/>
      <c r="N11" s="95">
        <f>$L$12</f>
        <v>0.25873242608047059</v>
      </c>
      <c r="O11" s="95">
        <f t="shared" ref="O11:X11" si="6">$L$12</f>
        <v>0.25873242608047059</v>
      </c>
      <c r="P11" s="95">
        <f t="shared" si="6"/>
        <v>0.25873242608047059</v>
      </c>
      <c r="Q11" s="95">
        <f t="shared" si="6"/>
        <v>0.25873242608047059</v>
      </c>
      <c r="R11" s="95">
        <f t="shared" si="6"/>
        <v>0.25873242608047059</v>
      </c>
      <c r="S11" s="95">
        <f t="shared" si="6"/>
        <v>0.25873242608047059</v>
      </c>
      <c r="T11" s="95">
        <f t="shared" si="6"/>
        <v>0.25873242608047059</v>
      </c>
      <c r="U11" s="95">
        <f t="shared" si="6"/>
        <v>0.25873242608047059</v>
      </c>
      <c r="V11" s="95">
        <f t="shared" si="6"/>
        <v>0.25873242608047059</v>
      </c>
      <c r="W11" s="95">
        <f t="shared" si="6"/>
        <v>0.25873242608047059</v>
      </c>
      <c r="X11" s="95">
        <f t="shared" si="6"/>
        <v>0.25873242608047059</v>
      </c>
      <c r="Z11" s="151" t="s">
        <v>165</v>
      </c>
      <c r="AA11" s="152">
        <f>AA10/AA3</f>
        <v>2.3879165667705586E-2</v>
      </c>
    </row>
    <row r="12" spans="1:37" x14ac:dyDescent="0.2">
      <c r="A12" s="107" t="s">
        <v>178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7">
        <f>SUM(B10:G10,I10,K10:L10)/SUM(B5:G5,I5,K5:L5)</f>
        <v>0.25873242608047059</v>
      </c>
      <c r="M12" s="95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Z12" s="144" t="s">
        <v>142</v>
      </c>
      <c r="AA12" s="150">
        <f>L12</f>
        <v>0.25873242608047059</v>
      </c>
    </row>
    <row r="13" spans="1:37" x14ac:dyDescent="0.2">
      <c r="A13" s="99" t="s">
        <v>64</v>
      </c>
      <c r="B13" s="100">
        <f>B7*(1-B11)</f>
        <v>33745.4</v>
      </c>
      <c r="C13" s="100">
        <f t="shared" ref="C13:L13" si="7">C7*(1-C11)</f>
        <v>16707.75</v>
      </c>
      <c r="D13" s="100">
        <f t="shared" si="7"/>
        <v>8843.1</v>
      </c>
      <c r="E13" s="100">
        <f t="shared" si="7"/>
        <v>20431.5</v>
      </c>
      <c r="F13" s="100">
        <f t="shared" si="7"/>
        <v>21886.109999999997</v>
      </c>
      <c r="G13" s="100">
        <f t="shared" si="7"/>
        <v>15455.64</v>
      </c>
      <c r="H13" s="100">
        <f t="shared" si="7"/>
        <v>-22457.25</v>
      </c>
      <c r="I13" s="100">
        <f t="shared" si="7"/>
        <v>24525.96</v>
      </c>
      <c r="J13" s="100">
        <f t="shared" si="7"/>
        <v>58127.74</v>
      </c>
      <c r="K13" s="100">
        <f t="shared" si="7"/>
        <v>38078.720000000001</v>
      </c>
      <c r="L13" s="100">
        <f t="shared" si="7"/>
        <v>35905.68</v>
      </c>
      <c r="M13" s="100"/>
      <c r="N13" s="100">
        <f>N7*(1-N11)</f>
        <v>27666.658090584871</v>
      </c>
      <c r="O13" s="100">
        <f t="shared" ref="O13" si="8">O7*(1-O11)</f>
        <v>28241.851342770391</v>
      </c>
      <c r="P13" s="100">
        <f t="shared" ref="P13" si="9">P7*(1-P11)</f>
        <v>28829.002933989002</v>
      </c>
      <c r="Q13" s="100">
        <f t="shared" ref="Q13" si="10">Q7*(1-Q11)</f>
        <v>29428.361479591953</v>
      </c>
      <c r="R13" s="100">
        <f t="shared" ref="R13" si="11">R7*(1-R11)</f>
        <v>30040.180763674482</v>
      </c>
      <c r="S13" s="100">
        <f t="shared" ref="S13" si="12">S7*(1-S11)</f>
        <v>30664.719846534619</v>
      </c>
      <c r="T13" s="100">
        <f t="shared" ref="T13" si="13">T7*(1-T11)</f>
        <v>31302.243174366122</v>
      </c>
      <c r="U13" s="100">
        <f t="shared" ref="U13" si="14">U7*(1-U11)</f>
        <v>31953.020691231915</v>
      </c>
      <c r="V13" s="100">
        <f t="shared" ref="V13" si="15">V7*(1-V11)</f>
        <v>32617.32795336545</v>
      </c>
      <c r="W13" s="100">
        <f t="shared" ref="W13:X13" si="16">W7*(1-W11)</f>
        <v>33295.446245848434</v>
      </c>
      <c r="X13" s="100">
        <f t="shared" si="16"/>
        <v>33987.662701714318</v>
      </c>
      <c r="Z13" s="151" t="s">
        <v>166</v>
      </c>
      <c r="AA13" s="152">
        <f>AA11*(1-AA12)</f>
        <v>1.7700851201722639E-2</v>
      </c>
    </row>
    <row r="14" spans="1:37" x14ac:dyDescent="0.2">
      <c r="A14" t="s">
        <v>151</v>
      </c>
      <c r="B14" s="93"/>
      <c r="C14" s="93">
        <f>'Exhibit 4'!K29+'Exhibit 4'!K41-'Exhibit 4'!K6</f>
        <v>211792</v>
      </c>
      <c r="D14" s="93">
        <f>'Exhibit 4'!J29+'Exhibit 4'!J41-'Exhibit 4'!J6</f>
        <v>212935</v>
      </c>
      <c r="E14" s="93">
        <f>'Exhibit 4'!I29+'Exhibit 4'!I41-'Exhibit 4'!I6</f>
        <v>233659</v>
      </c>
      <c r="F14" s="93">
        <f>'Exhibit 4'!H29+'Exhibit 4'!H41-'Exhibit 4'!H6</f>
        <v>233282</v>
      </c>
      <c r="G14" s="93">
        <f>'Exhibit 4'!G29+'Exhibit 4'!G41-'Exhibit 4'!G6</f>
        <v>242769</v>
      </c>
      <c r="H14" s="93">
        <f>'Exhibit 4'!F29+'Exhibit 4'!F41-'Exhibit 4'!F6</f>
        <v>227406</v>
      </c>
      <c r="I14" s="93">
        <f>'Exhibit 4'!E29+'Exhibit 4'!E41-'Exhibit 4'!E6</f>
        <v>216585</v>
      </c>
      <c r="J14" s="93">
        <f>'Exhibit 4'!D29+'Exhibit 4'!D41-'Exhibit 4'!D6</f>
        <v>214026</v>
      </c>
      <c r="K14" s="93">
        <f>'Exhibit 4'!C29+'Exhibit 4'!C41-'Exhibit 4'!C6</f>
        <v>222572</v>
      </c>
      <c r="L14" s="93">
        <f>'Exhibit 4'!B29+'Exhibit 4'!B41-'Exhibit 4'!B6</f>
        <v>289287</v>
      </c>
      <c r="M14" s="93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Z14" s="151" t="s">
        <v>169</v>
      </c>
      <c r="AA14" s="152">
        <v>0.02</v>
      </c>
    </row>
    <row r="15" spans="1:37" ht="16" thickBot="1" x14ac:dyDescent="0.25">
      <c r="A15" s="107" t="s">
        <v>152</v>
      </c>
      <c r="B15" s="123"/>
      <c r="C15" s="123">
        <f>C13/C14</f>
        <v>7.8887540605877465E-2</v>
      </c>
      <c r="D15" s="123">
        <f t="shared" ref="D15:L15" si="17">D13/D14</f>
        <v>4.1529574752858858E-2</v>
      </c>
      <c r="E15" s="123">
        <f t="shared" si="17"/>
        <v>8.7441528038723099E-2</v>
      </c>
      <c r="F15" s="123">
        <f t="shared" si="17"/>
        <v>9.3818254301660645E-2</v>
      </c>
      <c r="G15" s="123">
        <f t="shared" si="17"/>
        <v>6.3663976866898161E-2</v>
      </c>
      <c r="H15" s="123">
        <f t="shared" si="17"/>
        <v>-9.8753990659877042E-2</v>
      </c>
      <c r="I15" s="123">
        <f t="shared" si="17"/>
        <v>0.11323942101253549</v>
      </c>
      <c r="J15" s="123">
        <f t="shared" si="17"/>
        <v>0.27159195611748105</v>
      </c>
      <c r="K15" s="123">
        <f t="shared" si="17"/>
        <v>0.17108495228510326</v>
      </c>
      <c r="L15" s="123">
        <f t="shared" si="17"/>
        <v>0.12411784836511838</v>
      </c>
      <c r="M15" s="93"/>
      <c r="N15" s="108">
        <f>$L$16</f>
        <v>9.6722887028596924E-2</v>
      </c>
      <c r="O15" s="108">
        <f t="shared" ref="O15:X15" si="18">$L$16</f>
        <v>9.6722887028596924E-2</v>
      </c>
      <c r="P15" s="108">
        <f t="shared" si="18"/>
        <v>9.6722887028596924E-2</v>
      </c>
      <c r="Q15" s="108">
        <f t="shared" si="18"/>
        <v>9.6722887028596924E-2</v>
      </c>
      <c r="R15" s="108">
        <f t="shared" si="18"/>
        <v>9.6722887028596924E-2</v>
      </c>
      <c r="S15" s="108">
        <f t="shared" si="18"/>
        <v>9.6722887028596924E-2</v>
      </c>
      <c r="T15" s="108">
        <f t="shared" si="18"/>
        <v>9.6722887028596924E-2</v>
      </c>
      <c r="U15" s="108">
        <f t="shared" si="18"/>
        <v>9.6722887028596924E-2</v>
      </c>
      <c r="V15" s="108">
        <f t="shared" si="18"/>
        <v>9.6722887028596924E-2</v>
      </c>
      <c r="W15" s="108">
        <f t="shared" si="18"/>
        <v>9.6722887028596924E-2</v>
      </c>
      <c r="X15" s="108">
        <f t="shared" si="18"/>
        <v>9.6722887028596924E-2</v>
      </c>
      <c r="Z15" s="155" t="s">
        <v>124</v>
      </c>
      <c r="AA15" s="154">
        <f>AA4*AA9+AA5*AA13</f>
        <v>5.7753039771655433E-2</v>
      </c>
    </row>
    <row r="16" spans="1:37" x14ac:dyDescent="0.2">
      <c r="A16" s="107" t="s">
        <v>174</v>
      </c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3">
        <f>AVERAGE(C15:G15,I15,K15:L15)</f>
        <v>9.6722887028596924E-2</v>
      </c>
      <c r="M16" s="93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</row>
    <row r="17" spans="1:27" x14ac:dyDescent="0.2">
      <c r="A17" t="s">
        <v>154</v>
      </c>
      <c r="B17" s="134">
        <f>B21-B18+B24</f>
        <v>10723</v>
      </c>
      <c r="C17" s="134">
        <f t="shared" ref="C17:L17" si="19">C21-C18+C24</f>
        <v>5329</v>
      </c>
      <c r="D17" s="134">
        <f t="shared" si="19"/>
        <v>-6327</v>
      </c>
      <c r="E17" s="134">
        <f t="shared" si="19"/>
        <v>-5140</v>
      </c>
      <c r="F17" s="134">
        <f t="shared" si="19"/>
        <v>-1737</v>
      </c>
      <c r="G17" s="134">
        <f t="shared" si="19"/>
        <v>-42436</v>
      </c>
      <c r="H17" s="134">
        <f t="shared" si="19"/>
        <v>-30380</v>
      </c>
      <c r="I17" s="134">
        <f t="shared" si="19"/>
        <v>-4369</v>
      </c>
      <c r="J17" s="134">
        <f t="shared" si="19"/>
        <v>-25321</v>
      </c>
      <c r="K17" s="134">
        <f t="shared" si="19"/>
        <v>1417</v>
      </c>
      <c r="L17" s="134">
        <f t="shared" si="19"/>
        <v>-7812</v>
      </c>
      <c r="M17" s="93"/>
      <c r="N17" s="93">
        <f>N4/N15*N13</f>
        <v>5946.816413942056</v>
      </c>
      <c r="O17" s="93">
        <f t="shared" ref="O17:X17" si="20">O4/O15*O13</f>
        <v>6070.4514645537383</v>
      </c>
      <c r="P17" s="93">
        <f t="shared" si="20"/>
        <v>6196.656903197565</v>
      </c>
      <c r="Q17" s="93">
        <f t="shared" si="20"/>
        <v>6325.4861685594342</v>
      </c>
      <c r="R17" s="93">
        <f t="shared" si="20"/>
        <v>6456.993810322153</v>
      </c>
      <c r="S17" s="93">
        <f t="shared" si="20"/>
        <v>6591.2355122631934</v>
      </c>
      <c r="T17" s="93">
        <f t="shared" si="20"/>
        <v>6728.2681158326695</v>
      </c>
      <c r="U17" s="93">
        <f t="shared" si="20"/>
        <v>6868.1496442214902</v>
      </c>
      <c r="V17" s="93">
        <f t="shared" si="20"/>
        <v>7010.939326929898</v>
      </c>
      <c r="W17" s="93">
        <f t="shared" si="20"/>
        <v>7156.6976248467872</v>
      </c>
      <c r="X17" s="93">
        <f t="shared" si="20"/>
        <v>7305.4862558504319</v>
      </c>
    </row>
    <row r="18" spans="1:27" x14ac:dyDescent="0.2">
      <c r="A18" t="s">
        <v>141</v>
      </c>
      <c r="B18" s="93">
        <f>'10K'!B8</f>
        <v>17297</v>
      </c>
      <c r="C18" s="93">
        <f>'10K'!C8</f>
        <v>18048</v>
      </c>
      <c r="D18" s="93">
        <f>'10K'!D8</f>
        <v>22308</v>
      </c>
      <c r="E18" s="93">
        <f>'10K'!E8</f>
        <v>19893</v>
      </c>
      <c r="F18" s="93">
        <f>'10K'!F8</f>
        <v>18745</v>
      </c>
      <c r="G18" s="93">
        <f>'10K'!G8</f>
        <v>18998</v>
      </c>
      <c r="H18" s="93">
        <f>'10K'!H8</f>
        <v>46009</v>
      </c>
      <c r="I18" s="93">
        <f>'10K'!I8</f>
        <v>20607</v>
      </c>
      <c r="J18" s="93">
        <f>'10K'!J8</f>
        <v>24040</v>
      </c>
      <c r="K18" s="93">
        <f>'10K'!K8</f>
        <v>20461</v>
      </c>
      <c r="L18" s="93">
        <f>'10K'!L8</f>
        <v>23442</v>
      </c>
      <c r="M18" s="93"/>
      <c r="N18" s="93">
        <f>N3*N19</f>
        <v>25530.455293769246</v>
      </c>
      <c r="O18" s="93">
        <f t="shared" ref="O18:X18" si="21">O3*O19</f>
        <v>26061.236624933979</v>
      </c>
      <c r="P18" s="93">
        <f t="shared" si="21"/>
        <v>26603.052965786992</v>
      </c>
      <c r="Q18" s="93">
        <f t="shared" si="21"/>
        <v>27156.133735547981</v>
      </c>
      <c r="R18" s="93">
        <f t="shared" si="21"/>
        <v>27720.713123090649</v>
      </c>
      <c r="S18" s="93">
        <f t="shared" si="21"/>
        <v>28297.030186104432</v>
      </c>
      <c r="T18" s="93">
        <f t="shared" si="21"/>
        <v>28885.328952317766</v>
      </c>
      <c r="U18" s="93">
        <f t="shared" si="21"/>
        <v>29485.858522825827</v>
      </c>
      <c r="V18" s="93">
        <f t="shared" si="21"/>
        <v>30098.873177566438</v>
      </c>
      <c r="W18" s="93">
        <f t="shared" si="21"/>
        <v>30724.632482988862</v>
      </c>
      <c r="X18" s="93">
        <f t="shared" si="21"/>
        <v>31363.401401961022</v>
      </c>
    </row>
    <row r="19" spans="1:27" s="107" customFormat="1" x14ac:dyDescent="0.2">
      <c r="A19" s="107" t="s">
        <v>148</v>
      </c>
      <c r="B19" s="119">
        <f>B18/B3</f>
        <v>4.7047847527655604E-2</v>
      </c>
      <c r="C19" s="119">
        <f t="shared" ref="C19:L19" si="22">C18/C3</f>
        <v>7.5245774512828642E-2</v>
      </c>
      <c r="D19" s="119">
        <f t="shared" si="22"/>
        <v>0.11119086069741013</v>
      </c>
      <c r="E19" s="119">
        <f t="shared" si="22"/>
        <v>8.3879373592734077E-2</v>
      </c>
      <c r="F19" s="119">
        <f t="shared" si="22"/>
        <v>6.7106525568141132E-2</v>
      </c>
      <c r="G19" s="119">
        <f t="shared" si="22"/>
        <v>7.433201738769793E-2</v>
      </c>
      <c r="H19" s="119">
        <f t="shared" si="22"/>
        <v>0.25764668988766559</v>
      </c>
      <c r="I19" s="119">
        <f t="shared" si="22"/>
        <v>7.4476313012302495E-2</v>
      </c>
      <c r="J19" s="119">
        <f t="shared" si="22"/>
        <v>6.0299742898350786E-2</v>
      </c>
      <c r="K19" s="119">
        <f t="shared" si="22"/>
        <v>6.113290528448119E-2</v>
      </c>
      <c r="L19" s="119">
        <f t="shared" si="22"/>
        <v>6.9100095210864063E-2</v>
      </c>
      <c r="M19" s="109"/>
      <c r="N19" s="108">
        <f>$L$20</f>
        <v>7.3723523643790589E-2</v>
      </c>
      <c r="O19" s="108">
        <f t="shared" ref="O19:X19" si="23">$L$20</f>
        <v>7.3723523643790589E-2</v>
      </c>
      <c r="P19" s="108">
        <f t="shared" si="23"/>
        <v>7.3723523643790589E-2</v>
      </c>
      <c r="Q19" s="108">
        <f t="shared" si="23"/>
        <v>7.3723523643790589E-2</v>
      </c>
      <c r="R19" s="108">
        <f t="shared" si="23"/>
        <v>7.3723523643790589E-2</v>
      </c>
      <c r="S19" s="108">
        <f t="shared" si="23"/>
        <v>7.3723523643790589E-2</v>
      </c>
      <c r="T19" s="108">
        <f t="shared" si="23"/>
        <v>7.3723523643790589E-2</v>
      </c>
      <c r="U19" s="108">
        <f t="shared" si="23"/>
        <v>7.3723523643790589E-2</v>
      </c>
      <c r="V19" s="108">
        <f t="shared" si="23"/>
        <v>7.3723523643790589E-2</v>
      </c>
      <c r="W19" s="108">
        <f t="shared" si="23"/>
        <v>7.3723523643790589E-2</v>
      </c>
      <c r="X19" s="108">
        <f t="shared" si="23"/>
        <v>7.3723523643790589E-2</v>
      </c>
      <c r="Z19" s="141"/>
      <c r="AA19" s="141"/>
    </row>
    <row r="20" spans="1:27" s="107" customFormat="1" x14ac:dyDescent="0.2">
      <c r="A20" s="107" t="s">
        <v>175</v>
      </c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1">
        <f>AVERAGE(B19:G19,I19,K19:L19)</f>
        <v>7.3723523643790589E-2</v>
      </c>
      <c r="M20" s="109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Z20" s="141"/>
      <c r="AA20" s="141"/>
    </row>
    <row r="21" spans="1:27" x14ac:dyDescent="0.2">
      <c r="A21" t="s">
        <v>65</v>
      </c>
      <c r="B21" s="93">
        <f>-'10K'!B13</f>
        <v>32952</v>
      </c>
      <c r="C21" s="93">
        <f>-'10K'!C13</f>
        <v>26490</v>
      </c>
      <c r="D21" s="93">
        <f>-'10K'!D13</f>
        <v>16163</v>
      </c>
      <c r="E21" s="93">
        <f>-'10K'!E13</f>
        <v>15402</v>
      </c>
      <c r="F21" s="93">
        <f>-'10K'!F13</f>
        <v>19574</v>
      </c>
      <c r="G21" s="93">
        <f>-'10K'!G13</f>
        <v>-24361</v>
      </c>
      <c r="H21" s="93">
        <f>-'10K'!H13</f>
        <v>17282</v>
      </c>
      <c r="I21" s="93">
        <f>-'10K'!I13</f>
        <v>12076</v>
      </c>
      <c r="J21" s="93">
        <f>-'10K'!J13</f>
        <v>18407</v>
      </c>
      <c r="K21" s="93">
        <f>-'10K'!K13</f>
        <v>21919</v>
      </c>
      <c r="L21" s="93">
        <f>-'10K'!L13</f>
        <v>24306</v>
      </c>
      <c r="M21" s="93"/>
      <c r="N21" s="93">
        <f>N17+N18-N24</f>
        <v>29418.710672722489</v>
      </c>
      <c r="O21" s="93">
        <f t="shared" ref="O21:X21" si="24">O17+O18-O24</f>
        <v>30030.329315333562</v>
      </c>
      <c r="P21" s="93">
        <f t="shared" si="24"/>
        <v>30654.663585361173</v>
      </c>
      <c r="Q21" s="93">
        <f t="shared" si="24"/>
        <v>31291.977842275974</v>
      </c>
      <c r="R21" s="93">
        <f t="shared" si="24"/>
        <v>31942.541941614782</v>
      </c>
      <c r="S21" s="93">
        <f t="shared" si="24"/>
        <v>32606.631349244479</v>
      </c>
      <c r="T21" s="93">
        <f t="shared" si="24"/>
        <v>33284.527258001472</v>
      </c>
      <c r="U21" s="93">
        <f t="shared" si="24"/>
        <v>33976.516706756142</v>
      </c>
      <c r="V21" s="93">
        <f t="shared" si="24"/>
        <v>34682.892701952522</v>
      </c>
      <c r="W21" s="93">
        <f t="shared" si="24"/>
        <v>35403.954341674966</v>
      </c>
      <c r="X21" s="93">
        <f t="shared" si="24"/>
        <v>36140.006942294123</v>
      </c>
    </row>
    <row r="22" spans="1:27" x14ac:dyDescent="0.2">
      <c r="A22" s="107" t="s">
        <v>176</v>
      </c>
      <c r="B22" s="119">
        <f>B21/B3</f>
        <v>8.9629454340712691E-2</v>
      </c>
      <c r="C22" s="119">
        <f t="shared" ref="C22:L22" si="25">C21/C3</f>
        <v>0.11044218566294496</v>
      </c>
      <c r="D22" s="119">
        <f t="shared" si="25"/>
        <v>8.0562035209442356E-2</v>
      </c>
      <c r="E22" s="119">
        <f t="shared" si="25"/>
        <v>6.4942950388342149E-2</v>
      </c>
      <c r="F22" s="119">
        <f t="shared" si="25"/>
        <v>7.0074320163819398E-2</v>
      </c>
      <c r="G22" s="119">
        <f t="shared" si="25"/>
        <v>-9.5315416127050703E-2</v>
      </c>
      <c r="H22" s="119">
        <f t="shared" si="25"/>
        <v>9.6777806399587843E-2</v>
      </c>
      <c r="I22" s="119">
        <f t="shared" si="25"/>
        <v>4.3644196435025227E-2</v>
      </c>
      <c r="J22" s="119">
        <f t="shared" si="25"/>
        <v>4.6170439581112437E-2</v>
      </c>
      <c r="K22" s="119">
        <f t="shared" si="25"/>
        <v>6.548908415671488E-2</v>
      </c>
      <c r="L22" s="119">
        <f t="shared" si="25"/>
        <v>7.1646912131868523E-2</v>
      </c>
      <c r="M22" s="93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</row>
    <row r="23" spans="1:27" x14ac:dyDescent="0.2">
      <c r="A23" s="107" t="s">
        <v>149</v>
      </c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1">
        <f>AVERAGE(B22:G22,I22,K22:L22)</f>
        <v>5.5679524706868828E-2</v>
      </c>
      <c r="M23" s="93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</row>
    <row r="24" spans="1:27" x14ac:dyDescent="0.2">
      <c r="A24" t="s">
        <v>135</v>
      </c>
      <c r="B24" s="93">
        <f>'10K'!B14</f>
        <v>-4932</v>
      </c>
      <c r="C24" s="93">
        <f>'10K'!C14</f>
        <v>-3113</v>
      </c>
      <c r="D24" s="93">
        <f>'10K'!D14</f>
        <v>-182</v>
      </c>
      <c r="E24" s="93">
        <f>'10K'!E14</f>
        <v>-649</v>
      </c>
      <c r="F24" s="93">
        <f>'10K'!F14</f>
        <v>-2566</v>
      </c>
      <c r="G24" s="93">
        <f>'10K'!G14</f>
        <v>923</v>
      </c>
      <c r="H24" s="93">
        <f>'10K'!H14</f>
        <v>-1653</v>
      </c>
      <c r="I24" s="93">
        <f>'10K'!I14</f>
        <v>4162</v>
      </c>
      <c r="J24" s="93">
        <f>'10K'!J14</f>
        <v>-19688</v>
      </c>
      <c r="K24" s="93">
        <f>'10K'!K14</f>
        <v>-41</v>
      </c>
      <c r="L24" s="93">
        <f>'10K'!L14</f>
        <v>-8676</v>
      </c>
      <c r="M24" s="93"/>
      <c r="N24" s="93">
        <f>N25*N3</f>
        <v>2058.5610349888138</v>
      </c>
      <c r="O24" s="93">
        <f t="shared" ref="O24:X24" si="26">O25*O3</f>
        <v>2101.3587741541578</v>
      </c>
      <c r="P24" s="93">
        <f t="shared" si="26"/>
        <v>2145.0462836233851</v>
      </c>
      <c r="Q24" s="93">
        <f t="shared" si="26"/>
        <v>2189.6420618314401</v>
      </c>
      <c r="R24" s="93">
        <f t="shared" si="26"/>
        <v>2235.1649917980212</v>
      </c>
      <c r="S24" s="93">
        <f t="shared" si="26"/>
        <v>2281.6343491231491</v>
      </c>
      <c r="T24" s="93">
        <f t="shared" si="26"/>
        <v>2329.0698101489584</v>
      </c>
      <c r="U24" s="93">
        <f t="shared" si="26"/>
        <v>2377.4914602911776</v>
      </c>
      <c r="V24" s="93">
        <f t="shared" si="26"/>
        <v>2426.9198025438172</v>
      </c>
      <c r="W24" s="93">
        <f t="shared" si="26"/>
        <v>2477.375766160676</v>
      </c>
      <c r="X24" s="93">
        <f t="shared" si="26"/>
        <v>2528.8807155173345</v>
      </c>
    </row>
    <row r="25" spans="1:27" x14ac:dyDescent="0.2">
      <c r="A25" s="107" t="s">
        <v>150</v>
      </c>
      <c r="B25" s="108">
        <f>'10K'!B20</f>
        <v>1.34E-2</v>
      </c>
      <c r="C25" s="108">
        <f>'10K'!C20</f>
        <v>1.2999999999999999E-2</v>
      </c>
      <c r="D25" s="108">
        <f>'10K'!D20</f>
        <v>8.9999999999999998E-4</v>
      </c>
      <c r="E25" s="108">
        <f>'10K'!E20</f>
        <v>2.7000000000000001E-3</v>
      </c>
      <c r="F25" s="108">
        <f>'10K'!F20</f>
        <v>9.1999999999999998E-3</v>
      </c>
      <c r="G25" s="108">
        <f>'10K'!G20</f>
        <v>3.5999999999999999E-3</v>
      </c>
      <c r="H25" s="108">
        <f>'10K'!H20</f>
        <v>9.2999999999999992E-3</v>
      </c>
      <c r="I25" s="108">
        <f>'10K'!I20</f>
        <v>-1.4999999999999999E-2</v>
      </c>
      <c r="J25" s="108">
        <f>'10K'!J20</f>
        <v>4.9399999999999999E-2</v>
      </c>
      <c r="K25" s="108">
        <f>'10K'!K20</f>
        <v>1E-4</v>
      </c>
      <c r="L25" s="108">
        <f>'10K'!L20</f>
        <v>2.5600000000000001E-2</v>
      </c>
      <c r="M25" s="93"/>
      <c r="N25" s="108">
        <f>$L$26</f>
        <v>5.944444444444444E-3</v>
      </c>
      <c r="O25" s="108">
        <f t="shared" ref="O25:X25" si="27">$L$26</f>
        <v>5.944444444444444E-3</v>
      </c>
      <c r="P25" s="108">
        <f t="shared" si="27"/>
        <v>5.944444444444444E-3</v>
      </c>
      <c r="Q25" s="108">
        <f t="shared" si="27"/>
        <v>5.944444444444444E-3</v>
      </c>
      <c r="R25" s="108">
        <f t="shared" si="27"/>
        <v>5.944444444444444E-3</v>
      </c>
      <c r="S25" s="108">
        <f t="shared" si="27"/>
        <v>5.944444444444444E-3</v>
      </c>
      <c r="T25" s="108">
        <f t="shared" si="27"/>
        <v>5.944444444444444E-3</v>
      </c>
      <c r="U25" s="108">
        <f t="shared" si="27"/>
        <v>5.944444444444444E-3</v>
      </c>
      <c r="V25" s="108">
        <f t="shared" si="27"/>
        <v>5.944444444444444E-3</v>
      </c>
      <c r="W25" s="108">
        <f t="shared" si="27"/>
        <v>5.944444444444444E-3</v>
      </c>
      <c r="X25" s="108">
        <f t="shared" si="27"/>
        <v>5.944444444444444E-3</v>
      </c>
    </row>
    <row r="26" spans="1:27" x14ac:dyDescent="0.2">
      <c r="A26" s="107" t="s">
        <v>177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17">
        <f>AVERAGE(B25:G25,I25,K25:L25)</f>
        <v>5.944444444444444E-3</v>
      </c>
      <c r="M26" s="93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</row>
    <row r="27" spans="1:27" ht="16" thickBot="1" x14ac:dyDescent="0.25">
      <c r="A27" s="156" t="s">
        <v>140</v>
      </c>
      <c r="B27" s="157">
        <f>B13+B18-B21-B24</f>
        <v>23022.400000000001</v>
      </c>
      <c r="C27" s="157">
        <f t="shared" ref="C27:K27" si="28">C13+C18-C21-C24</f>
        <v>11378.75</v>
      </c>
      <c r="D27" s="157">
        <f t="shared" si="28"/>
        <v>15170.099999999999</v>
      </c>
      <c r="E27" s="157">
        <f t="shared" si="28"/>
        <v>25571.5</v>
      </c>
      <c r="F27" s="157">
        <f t="shared" si="28"/>
        <v>23623.11</v>
      </c>
      <c r="G27" s="157">
        <f t="shared" si="28"/>
        <v>57891.64</v>
      </c>
      <c r="H27" s="157">
        <f t="shared" si="28"/>
        <v>7922.75</v>
      </c>
      <c r="I27" s="157">
        <f t="shared" si="28"/>
        <v>28894.959999999999</v>
      </c>
      <c r="J27" s="157">
        <f t="shared" si="28"/>
        <v>83448.739999999991</v>
      </c>
      <c r="K27" s="157">
        <f t="shared" si="28"/>
        <v>36661.72</v>
      </c>
      <c r="L27" s="157">
        <f>L13+L18-L21-L24</f>
        <v>43717.68</v>
      </c>
      <c r="M27" s="157"/>
      <c r="N27" s="158">
        <f t="shared" ref="N27:X27" si="29">N13+N18-N21-N24</f>
        <v>21719.841676642813</v>
      </c>
      <c r="O27" s="158">
        <f t="shared" si="29"/>
        <v>22171.399878216653</v>
      </c>
      <c r="P27" s="158">
        <f t="shared" si="29"/>
        <v>22632.346030791436</v>
      </c>
      <c r="Q27" s="158">
        <f t="shared" si="29"/>
        <v>23102.87531103252</v>
      </c>
      <c r="R27" s="158">
        <f t="shared" si="29"/>
        <v>23583.186953352328</v>
      </c>
      <c r="S27" s="158">
        <f t="shared" si="29"/>
        <v>24073.484334271423</v>
      </c>
      <c r="T27" s="158">
        <f t="shared" si="29"/>
        <v>24573.975058533459</v>
      </c>
      <c r="U27" s="158">
        <f t="shared" si="29"/>
        <v>25084.871047010423</v>
      </c>
      <c r="V27" s="158">
        <f t="shared" si="29"/>
        <v>25606.388626435553</v>
      </c>
      <c r="W27" s="158">
        <f t="shared" si="29"/>
        <v>26138.748621001654</v>
      </c>
      <c r="X27" s="158">
        <f t="shared" si="29"/>
        <v>26682.176445863879</v>
      </c>
    </row>
    <row r="28" spans="1:27" ht="16" thickTop="1" x14ac:dyDescent="0.2">
      <c r="A28" s="8" t="s">
        <v>167</v>
      </c>
      <c r="N28" s="105">
        <f>N27/(1+$AA$15)^0</f>
        <v>21719.841676642813</v>
      </c>
      <c r="O28" s="105">
        <f>O27/(1+$AA$15)^1</f>
        <v>20960.84723424945</v>
      </c>
      <c r="P28" s="105">
        <f>P27/(1+$AA$15)^2</f>
        <v>20228.375663070357</v>
      </c>
      <c r="Q28" s="105">
        <f>Q27/(1+$AA$15)^3</f>
        <v>19521.50012799562</v>
      </c>
      <c r="R28" s="105">
        <f>R27/(1+$AA$15)^4</f>
        <v>18839.326181936718</v>
      </c>
      <c r="S28" s="105">
        <f>S27/(1+$AA$15)^5</f>
        <v>18180.99063403525</v>
      </c>
      <c r="T28" s="105">
        <f>T27/(1+$AA$15)^6</f>
        <v>17545.66045742176</v>
      </c>
      <c r="U28" s="105">
        <f>U27/(1+$AA$15)^7</f>
        <v>16932.531735142667</v>
      </c>
      <c r="V28" s="105">
        <f>V27/(1+$AA$15)^8</f>
        <v>16340.828642921559</v>
      </c>
      <c r="W28" s="105">
        <f>W27/(1+$AA$15)^9</f>
        <v>15769.802467467562</v>
      </c>
      <c r="X28" s="105">
        <f>X27/(1+$AA$15)^10</f>
        <v>15218.73065908874</v>
      </c>
    </row>
    <row r="29" spans="1:27" x14ac:dyDescent="0.2">
      <c r="A29" s="8" t="s">
        <v>168</v>
      </c>
      <c r="N29" s="66"/>
      <c r="O29" s="66"/>
      <c r="P29" s="66"/>
      <c r="Q29" s="66"/>
      <c r="R29" s="66"/>
      <c r="S29" s="66"/>
      <c r="T29" s="66"/>
      <c r="U29" s="66"/>
      <c r="V29" s="66"/>
      <c r="W29" s="93"/>
      <c r="X29" s="93">
        <f>(X27*(1+AA14))/(AA15-AA14)</f>
        <v>720890.82466981886</v>
      </c>
    </row>
    <row r="30" spans="1:27" ht="16" thickBot="1" x14ac:dyDescent="0.25">
      <c r="A30" s="159" t="s">
        <v>170</v>
      </c>
      <c r="B30" s="160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3"/>
      <c r="X30" s="163">
        <f>X29/(1+AA15)^10</f>
        <v>411174.97733056959</v>
      </c>
    </row>
    <row r="31" spans="1:27" ht="17" thickTop="1" thickBot="1" x14ac:dyDescent="0.25">
      <c r="A31" s="159" t="s">
        <v>122</v>
      </c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3"/>
      <c r="X31" s="164">
        <f>SUM(N28:X28,X30)</f>
        <v>612433.41281054204</v>
      </c>
    </row>
    <row r="32" spans="1:27" ht="17" thickTop="1" thickBot="1" x14ac:dyDescent="0.25">
      <c r="A32" s="8" t="s">
        <v>123</v>
      </c>
      <c r="L32" s="96"/>
      <c r="M32" s="96"/>
      <c r="N32" s="66"/>
      <c r="O32" s="66"/>
      <c r="P32" s="66"/>
      <c r="Q32" s="66"/>
      <c r="R32" s="66"/>
      <c r="S32" s="66"/>
      <c r="T32" s="66"/>
      <c r="U32" s="66"/>
      <c r="V32" s="66"/>
      <c r="W32" s="93"/>
      <c r="X32" s="93">
        <f>X31-AA3+'Exhibit 4'!B6</f>
        <v>593752.41281054204</v>
      </c>
    </row>
    <row r="33" spans="1:24" ht="17" thickTop="1" thickBot="1" x14ac:dyDescent="0.25">
      <c r="A33" s="161" t="s">
        <v>171</v>
      </c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71"/>
      <c r="X33" s="165">
        <f>X32/'Exhibit 4'!B45</f>
        <v>136.40073806812362</v>
      </c>
    </row>
    <row r="34" spans="1:24" ht="16" thickTop="1" x14ac:dyDescent="0.2"/>
  </sheetData>
  <pageMargins left="0.7" right="0.7" top="0.75" bottom="0.75" header="0.3" footer="0.3"/>
  <ignoredErrors>
    <ignoredError sqref="L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Exhibit 1</vt:lpstr>
      <vt:lpstr>Exhibit 2</vt:lpstr>
      <vt:lpstr>Exhibit 3</vt:lpstr>
      <vt:lpstr>Exhibit 4</vt:lpstr>
      <vt:lpstr>Exhibit 5</vt:lpstr>
      <vt:lpstr>10K</vt:lpstr>
      <vt:lpstr>DCF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Ananyan, Albina</cp:lastModifiedBy>
  <cp:revision/>
  <dcterms:created xsi:type="dcterms:W3CDTF">2026-02-14T04:36:48Z</dcterms:created>
  <dcterms:modified xsi:type="dcterms:W3CDTF">2026-02-24T08:27:02Z</dcterms:modified>
  <cp:category/>
  <cp:contentStatus/>
</cp:coreProperties>
</file>